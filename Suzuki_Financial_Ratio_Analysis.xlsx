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ummary Dashboard" sheetId="2" state="visible" r:id="rId4"/>
    <sheet name="5-Year Trend" sheetId="3" state="visible" r:id="rId5"/>
    <sheet name="Ratio Analysis" sheetId="4" state="visible" r:id="rId6"/>
    <sheet name="DuPont Analysis" sheetId="5" state="visible" r:id="rId7"/>
    <sheet name="Peer Benchmarking" sheetId="6" state="visible" r:id="rId8"/>
    <sheet name="Common-Size Analysis" sheetId="7" state="visible" r:id="rId9"/>
    <sheet name="Balance Sheet" sheetId="8" state="visible" r:id="rId10"/>
    <sheet name="Income Statement" sheetId="9" state="visible" r:id="rId11"/>
    <sheet name="Cash Flow Statement" sheetId="10" state="visible" r:id="rId12"/>
    <sheet name="Notes &amp; 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<sst xmlns="http://schemas.openxmlformats.org/spreadsheetml/2006/main" count="279" uniqueCount="215">
  <si>
    <t xml:space="preserve">Suzuki Motor Corporation — Executive Summary</t>
  </si>
  <si>
    <t xml:space="preserve">FY2024 Financial Performance Review | Analysis Date: July 2026</t>
  </si>
  <si>
    <t xml:space="preserve">Overall Verdict: MIXED — IN LINE WITH PEERS</t>
  </si>
  <si>
    <t xml:space="preserve">Key Takeaways</t>
  </si>
  <si>
    <t xml:space="preserve">Growth</t>
  </si>
  <si>
    <t xml:space="preserve">Revenue grew 8.0% YoY to $37.1B, outpacing the prior year and reflecting continued demand strength.</t>
  </si>
  <si>
    <t xml:space="preserve">Profitability</t>
  </si>
  <si>
    <t xml:space="preserve">Net margin improved slightly from 4.8% to 5.0% — modest but consistent with typical auto industry margins.</t>
  </si>
  <si>
    <t xml:space="preserve">Returns</t>
  </si>
  <si>
    <t xml:space="preserve">ROE of 9.2% is roughly in line with Honda (9.7%) but notably below Toyota (15.7%) for the same fiscal year.</t>
  </si>
  <si>
    <t xml:space="preserve">Leverage</t>
  </si>
  <si>
    <t xml:space="preserve">Debt-to-Equity declined from 0.82x to 0.72x — a genuinely positive, de-risking trend independent of the profitability picture.</t>
  </si>
  <si>
    <t xml:space="preserve">Liquidity</t>
  </si>
  <si>
    <t xml:space="preserve">Current Ratio eased slightly from 1.47x to 1.40x but remains healthy and above the 1.0x safety threshold.</t>
  </si>
  <si>
    <t xml:space="preserve">Cash Generation</t>
  </si>
  <si>
    <t xml:space="preserve">Free Cash Flow rose 19.0% to $4.48B, strengthening the balance sheet and funding capacity.</t>
  </si>
  <si>
    <t xml:space="preserve">Bottom Line</t>
  </si>
  <si>
    <t xml:space="preserve">Suzuki's FY2024 results show genuine improvement in revenue growth, leverage reduction, and free cash flow generation, but profitability (Net Margin, ROE, ROA) remains modest and below Toyota's on a like-for-like basis, while roughly matching Honda's. This is a more typical picture for an automotive manufacturer than an outperformance story — Suzuki's real strength this year lies in balance sheet discipline (falling leverage) and cash generation, not in industry-leading returns. See the Ratio Analysis, DuPont Analysis, and Peer Benchmarking sheets for full supporting detail.</t>
  </si>
  <si>
    <t xml:space="preserve">Suzuki Motor Corporation — Financial Ratio Analysis Dashboard</t>
  </si>
  <si>
    <t xml:space="preserve">FY2024 vs FY2023 performance, based on consolidated financial statements.</t>
  </si>
  <si>
    <t xml:space="preserve">Key Ratios Snapshot</t>
  </si>
  <si>
    <t xml:space="preserve">Ratio</t>
  </si>
  <si>
    <t xml:space="preserve">FY2024</t>
  </si>
  <si>
    <t xml:space="preserve">FY2023</t>
  </si>
  <si>
    <t xml:space="preserve">YoY Change</t>
  </si>
  <si>
    <t xml:space="preserve">Current Ratio</t>
  </si>
  <si>
    <t xml:space="preserve">Gross Profit Margin</t>
  </si>
  <si>
    <t xml:space="preserve">Net Profit Margin</t>
  </si>
  <si>
    <t xml:space="preserve">EPS</t>
  </si>
  <si>
    <t xml:space="preserve">FY2024 Snapshot (Return &amp; Efficiency)</t>
  </si>
  <si>
    <t xml:space="preserve">Metric</t>
  </si>
  <si>
    <t xml:space="preserve">Return on Equity (ROE)</t>
  </si>
  <si>
    <t xml:space="preserve">Return on Assets (ROA)</t>
  </si>
  <si>
    <t xml:space="preserve">Asset Turnover</t>
  </si>
  <si>
    <t xml:space="preserve">Inventory Turnover</t>
  </si>
  <si>
    <t xml:space="preserve">Revenue &amp; Profitability Trend ($ millions)</t>
  </si>
  <si>
    <t xml:space="preserve">Revenue</t>
  </si>
  <si>
    <t xml:space="preserve">Gross Profit</t>
  </si>
  <si>
    <t xml:space="preserve">Operating Income</t>
  </si>
  <si>
    <t xml:space="preserve">Net Income</t>
  </si>
  <si>
    <t xml:space="preserve">Suzuki Motor Corporation — 5-Year Revenue &amp; Net Income Trend</t>
  </si>
  <si>
    <t xml:space="preserve">FY2020–FY2024 (fiscal years ended March 31). Sourced from company filings via StockAnalysis.com / MacroTrends.</t>
  </si>
  <si>
    <t xml:space="preserve">Fiscal Year</t>
  </si>
  <si>
    <t xml:space="preserve">Revenue ($M)</t>
  </si>
  <si>
    <t xml:space="preserve">Net Income ($M)</t>
  </si>
  <si>
    <t xml:space="preserve">Net Margin</t>
  </si>
  <si>
    <t xml:space="preserve">Revenue YoY Growth</t>
  </si>
  <si>
    <t xml:space="preserve">FY2020</t>
  </si>
  <si>
    <t xml:space="preserve">—</t>
  </si>
  <si>
    <t xml:space="preserve">FY2021</t>
  </si>
  <si>
    <t xml:space="preserve">FY2022</t>
  </si>
  <si>
    <t xml:space="preserve">Observation</t>
  </si>
  <si>
    <t xml:space="preserve">Revenue dipped in FY2021 (COVID-19 demand shock) before recovering steadily through FY2024, growing at a compound annual growth rate of roughly 4.5% over the 5-year window. Net income has grown more consistently than revenue every year in this period, including through the FY2021 downturn — indicating steady underlying cost discipline even during the pandemic-affected year.</t>
  </si>
  <si>
    <t xml:space="preserve">Suzuki Motor Corporation — Financial Ratio Analysis</t>
  </si>
  <si>
    <t xml:space="preserve">All ratios calculated via live formulas referencing the Balance Sheet and Income Statement sheets.</t>
  </si>
  <si>
    <t xml:space="preserve">Formula</t>
  </si>
  <si>
    <t xml:space="preserve">Interpretation</t>
  </si>
  <si>
    <t xml:space="preserve">LIQUIDITY</t>
  </si>
  <si>
    <t xml:space="preserve">Total Current Assets / Total Current Liabilities</t>
  </si>
  <si>
    <t xml:space="preserve">Measures short-term ability to cover current liabilities with current assets.</t>
  </si>
  <si>
    <t xml:space="preserve">PROFITABILITY</t>
  </si>
  <si>
    <t xml:space="preserve">Gross Profit / Revenue</t>
  </si>
  <si>
    <t xml:space="preserve">Percentage of revenue retained after direct production costs.</t>
  </si>
  <si>
    <t xml:space="preserve">Net Income / Revenue</t>
  </si>
  <si>
    <t xml:space="preserve">Percentage of revenue converted into bottom-line profit.</t>
  </si>
  <si>
    <t xml:space="preserve">Net Income / Average Shareholders Equity</t>
  </si>
  <si>
    <t xml:space="preserve">N/A*</t>
  </si>
  <si>
    <t xml:space="preserve">Return generated on shareholders' invested capital.</t>
  </si>
  <si>
    <t xml:space="preserve">Net Income / Average Total Assets</t>
  </si>
  <si>
    <t xml:space="preserve">How efficiently total assets are converted into profit.</t>
  </si>
  <si>
    <t xml:space="preserve">EFFICIENCY</t>
  </si>
  <si>
    <t xml:space="preserve">Revenue / Average Total Assets</t>
  </si>
  <si>
    <t xml:space="preserve">How efficiently assets generate sales revenue.</t>
  </si>
  <si>
    <t xml:space="preserve">COGS / Average Inventory</t>
  </si>
  <si>
    <t xml:space="preserve">How many times inventory is sold and replaced in the period.</t>
  </si>
  <si>
    <t xml:space="preserve">PER-SHARE</t>
  </si>
  <si>
    <t xml:space="preserve">Earnings Per Share (EPS)</t>
  </si>
  <si>
    <t xml:space="preserve">Net Income / Shares Outstanding</t>
  </si>
  <si>
    <t xml:space="preserve">Profit attributable to each outstanding share.</t>
  </si>
  <si>
    <t xml:space="preserve">LIQUIDITY (CONT.)</t>
  </si>
  <si>
    <t xml:space="preserve">Quick Ratio (Acid-Test)</t>
  </si>
  <si>
    <t xml:space="preserve">(Total Current Assets − Inventory) / Total Current Liabilities</t>
  </si>
  <si>
    <t xml:space="preserve">Stricter liquidity test excluding inventory from current assets.</t>
  </si>
  <si>
    <t xml:space="preserve">LEVERAGE</t>
  </si>
  <si>
    <t xml:space="preserve">Debt-to-Equity</t>
  </si>
  <si>
    <t xml:space="preserve">Total Liabilities / Total Shareholders Equity</t>
  </si>
  <si>
    <t xml:space="preserve">Proportion of debt financing relative to shareholders' equity.</t>
  </si>
  <si>
    <t xml:space="preserve">Debt-to-Assets</t>
  </si>
  <si>
    <t xml:space="preserve">Total Liabilities / Total Assets</t>
  </si>
  <si>
    <t xml:space="preserve">Proportion of total assets financed through debt.</t>
  </si>
  <si>
    <t xml:space="preserve">Equity Multiplier</t>
  </si>
  <si>
    <t xml:space="preserve">Total Assets / Total Shareholders Equity</t>
  </si>
  <si>
    <t xml:space="preserve">Degree of financial leverage — higher values indicate greater reliance on debt.</t>
  </si>
  <si>
    <t xml:space="preserve">CASH FLOW</t>
  </si>
  <si>
    <t xml:space="preserve">Operating Cash Flow Ratio</t>
  </si>
  <si>
    <t xml:space="preserve">Cash Flow from Operations / Total Current Liabilities</t>
  </si>
  <si>
    <t xml:space="preserve">Ability to cover current liabilities using cash generated from operations.</t>
  </si>
  <si>
    <t xml:space="preserve">Cash Flow Margin</t>
  </si>
  <si>
    <t xml:space="preserve">Cash Flow from Operations / Revenue</t>
  </si>
  <si>
    <t xml:space="preserve">Percentage of revenue converted into operating cash flow.</t>
  </si>
  <si>
    <t xml:space="preserve">Free Cash Flow ($M)</t>
  </si>
  <si>
    <t xml:space="preserve">Cash Flow from Operations − Capital Expenditures</t>
  </si>
  <si>
    <t xml:space="preserve">Cash remaining after reinvestment in property, plant &amp; equipment.</t>
  </si>
  <si>
    <t xml:space="preserve">*FY2023 figures requiring average balances (ROE, ROA, Asset Turnover, Inventory Turnover) are not shown, as they would require FY2022 balance sheet data not available in this dataset.</t>
  </si>
  <si>
    <t xml:space="preserve">DuPont Analysis — ROE Decomposition (FY2024)</t>
  </si>
  <si>
    <t xml:space="preserve">Breaks Return on Equity into three drivers: profitability, efficiency, and leverage.</t>
  </si>
  <si>
    <t xml:space="preserve">Component</t>
  </si>
  <si>
    <t xml:space="preserve">× Asset Turnover</t>
  </si>
  <si>
    <t xml:space="preserve">× Equity Multiplier</t>
  </si>
  <si>
    <t xml:space="preserve">Average Total Assets / Average Shareholders Equity</t>
  </si>
  <si>
    <t xml:space="preserve">Product of the three components above</t>
  </si>
  <si>
    <t xml:space="preserve">Cross-check: Direct ROE (Net Income / Average Equity)</t>
  </si>
  <si>
    <t xml:space="preserve">Suzuki's FY2024 ROE is driven primarily by strong net profit margin and a meaningful equity multiplier (financial leverage), with asset turnover contributing a smaller but positive effect. This indicates returns are being generated through a combination of profitability and balance sheet leverage, rather than asset efficiency alone.</t>
  </si>
  <si>
    <t xml:space="preserve">Peer Benchmarking — Suzuki vs. Toyota vs. Honda (FY2024)</t>
  </si>
  <si>
    <t xml:space="preserve">FY2024 (fiscal year ended March 31, 2024) ratios compared across three major Japanese automotive manufacturers.</t>
  </si>
  <si>
    <t xml:space="preserve">Suzuki</t>
  </si>
  <si>
    <t xml:space="preserve">Toyota</t>
  </si>
  <si>
    <t xml:space="preserve">Honda</t>
  </si>
  <si>
    <t xml:space="preserve">Industry Avg</t>
  </si>
  <si>
    <t xml:space="preserve">Suzuki vs. Peers</t>
  </si>
  <si>
    <t xml:space="preserve">Quick Ratio</t>
  </si>
  <si>
    <t xml:space="preserve">Data Sources</t>
  </si>
  <si>
    <t xml:space="preserve">Suzuki: Calculated in this workbook from consolidated financial statements (FY2024).</t>
  </si>
  <si>
    <t xml:space="preserve">Toyota &amp; Honda: StockAnalysis.com, fiscal year ended March 31, 2024, sourced from company SEC/EDINET filings.</t>
  </si>
  <si>
    <t xml:space="preserve">Note: Debt-to-Equity for Toyota/Honda reflects total debt / equity (per StockAnalysis.com methodology); Suzuki figure uses total liabilities / equity as calculated in the Ratio Analysis sheet — figures are directionally, not precisely, comparable.</t>
  </si>
  <si>
    <t xml:space="preserve">Common-Size (Vertical) Analysis</t>
  </si>
  <si>
    <t xml:space="preserve">Balance Sheet items as % of Total Assets; Income Statement items as % of Revenue.</t>
  </si>
  <si>
    <t xml:space="preserve">Balance Sheet (% of Total Assets)</t>
  </si>
  <si>
    <t xml:space="preserve">Line Item</t>
  </si>
  <si>
    <t xml:space="preserve">Cash on Hand</t>
  </si>
  <si>
    <t xml:space="preserve">Receivables</t>
  </si>
  <si>
    <t xml:space="preserve">Inventory</t>
  </si>
  <si>
    <t xml:space="preserve">Total Current Assets</t>
  </si>
  <si>
    <t xml:space="preserve">Property, Plant &amp; Equipment</t>
  </si>
  <si>
    <t xml:space="preserve">Total Long-Term Assets</t>
  </si>
  <si>
    <t xml:space="preserve">Total Assets</t>
  </si>
  <si>
    <t xml:space="preserve">Total Current Liabilities</t>
  </si>
  <si>
    <t xml:space="preserve">Total Liabilities</t>
  </si>
  <si>
    <t xml:space="preserve">Total Shareholders Equity</t>
  </si>
  <si>
    <t xml:space="preserve">Income Statement (% of Revenue)</t>
  </si>
  <si>
    <t xml:space="preserve">Cost of Goods Sold</t>
  </si>
  <si>
    <t xml:space="preserve">SG&amp;A Expenses</t>
  </si>
  <si>
    <t xml:space="preserve">EBITDA</t>
  </si>
  <si>
    <t xml:space="preserve">Suzuki Motor Corporation — Consolidated Balance Sheet</t>
  </si>
  <si>
    <t xml:space="preserve">(in $ millions, unless otherwise noted)</t>
  </si>
  <si>
    <t xml:space="preserve">Particulars</t>
  </si>
  <si>
    <t xml:space="preserve">FY2024 (Mar 31, 2024)</t>
  </si>
  <si>
    <t xml:space="preserve">FY2023 (Mar 31, 2023)</t>
  </si>
  <si>
    <t xml:space="preserve">Current Assets</t>
  </si>
  <si>
    <t xml:space="preserve">Prepaid Expenses</t>
  </si>
  <si>
    <t xml:space="preserve">Other Current Assets</t>
  </si>
  <si>
    <t xml:space="preserve">Long-Term Assets</t>
  </si>
  <si>
    <t xml:space="preserve">Long-Term Investments</t>
  </si>
  <si>
    <t xml:space="preserve">Goodwill and Intangible Assets</t>
  </si>
  <si>
    <t xml:space="preserve">Other Long-Term Assets</t>
  </si>
  <si>
    <t xml:space="preserve">Current Liabilities</t>
  </si>
  <si>
    <t xml:space="preserve">Long-Term Debt</t>
  </si>
  <si>
    <t xml:space="preserve">Other Non-Current Liabilities</t>
  </si>
  <si>
    <t xml:space="preserve">Other Long-Term Liabilities</t>
  </si>
  <si>
    <t xml:space="preserve">Common Stock Net</t>
  </si>
  <si>
    <t xml:space="preserve">Retained Earnings</t>
  </si>
  <si>
    <t xml:space="preserve">Comprehensive Income</t>
  </si>
  <si>
    <t xml:space="preserve">Other Shareholders Equity</t>
  </si>
  <si>
    <t xml:space="preserve">Total Liabilities &amp; Shareholders Equity</t>
  </si>
  <si>
    <t xml:space="preserve">Suzuki Motor Corporation — Consolidated Income Statement</t>
  </si>
  <si>
    <t xml:space="preserve">Research &amp; Development Expenses</t>
  </si>
  <si>
    <t xml:space="preserve">Other Operating Income/Expenses</t>
  </si>
  <si>
    <t xml:space="preserve">Operating Expenses</t>
  </si>
  <si>
    <t xml:space="preserve">Total Non-Operating Income/Expense</t>
  </si>
  <si>
    <t xml:space="preserve">Pre-Tax Income</t>
  </si>
  <si>
    <t xml:space="preserve">Income Taxes</t>
  </si>
  <si>
    <t xml:space="preserve">Income After Taxes</t>
  </si>
  <si>
    <t xml:space="preserve">Other Income</t>
  </si>
  <si>
    <t xml:space="preserve">EBIT</t>
  </si>
  <si>
    <t xml:space="preserve">Shares Outstanding (millions)</t>
  </si>
  <si>
    <t xml:space="preserve">EPS (Reported)</t>
  </si>
  <si>
    <t xml:space="preserve">Suzuki Motor Corporation — Consolidated Statement of Cash Flows</t>
  </si>
  <si>
    <t xml:space="preserve">Depreciation &amp; Amortization</t>
  </si>
  <si>
    <t xml:space="preserve">Other Non-Cash Items</t>
  </si>
  <si>
    <t xml:space="preserve">Change in Accounts Receivable</t>
  </si>
  <si>
    <t xml:space="preserve">Change in Inventories</t>
  </si>
  <si>
    <t xml:space="preserve">Change in Accounts Payable</t>
  </si>
  <si>
    <t xml:space="preserve">Other Changes in Assets/Liabilities</t>
  </si>
  <si>
    <t xml:space="preserve">Cash Flow from Operating Activities</t>
  </si>
  <si>
    <t xml:space="preserve">Net Change in Property, Plant &amp; Equipment</t>
  </si>
  <si>
    <t xml:space="preserve">Net Change in Short-Term Investments</t>
  </si>
  <si>
    <t xml:space="preserve">Net Change in Long-Term Investments</t>
  </si>
  <si>
    <t xml:space="preserve">Investing Activities - Other</t>
  </si>
  <si>
    <t xml:space="preserve">Cash Flow from Investing Activities</t>
  </si>
  <si>
    <t xml:space="preserve">Net Long-Term Debt Issued/(Repaid)</t>
  </si>
  <si>
    <t xml:space="preserve">Net Current Debt Issued/(Repaid)</t>
  </si>
  <si>
    <t xml:space="preserve">Net Equity Issued/(Repurchased)</t>
  </si>
  <si>
    <t xml:space="preserve">Dividends Paid</t>
  </si>
  <si>
    <t xml:space="preserve">Financing Activities - Other</t>
  </si>
  <si>
    <t xml:space="preserve">Cash Flow from Financing Activities</t>
  </si>
  <si>
    <t xml:space="preserve">Net Change in Cash</t>
  </si>
  <si>
    <t xml:space="preserve">Notes, Assumptions &amp; Data Sources</t>
  </si>
  <si>
    <t xml:space="preserve">Data Source (Suzuki)</t>
  </si>
  <si>
    <t xml:space="preserve">Suzuki Motor Corporation's consolidated Balance Sheet, Income Statement, and Cash Flow Statement, FY2023 (year ended Mar 31, 2023) and FY2024 (year ended Mar 31, 2024).</t>
  </si>
  <si>
    <t xml:space="preserve">Data Source (Peers)</t>
  </si>
  <si>
    <t xml:space="preserve">Toyota and Honda FY2024 (year ended Mar 31, 2024) ratios sourced from StockAnalysis.com, compiled from company SEC/EDINET filings.</t>
  </si>
  <si>
    <t xml:space="preserve">Currency</t>
  </si>
  <si>
    <t xml:space="preserve">All figures presented in $ millions unless otherwise stated.</t>
  </si>
  <si>
    <t xml:space="preserve">Averaging Methodology</t>
  </si>
  <si>
    <t xml:space="preserve">Ratios requiring average balances (ROE, ROA, Asset Turnover, Inventory Turnover, Equity Multiplier) use the average of FY2023 and FY2024 period-end balances, standard financial analysis convention.</t>
  </si>
  <si>
    <t xml:space="preserve">FY2023 Limitation</t>
  </si>
  <si>
    <t xml:space="preserve">FY2023 average-balance ratios are not shown, as they would require FY2022 balance sheet data outside the scope of this dataset.</t>
  </si>
  <si>
    <t xml:space="preserve">Peer Comparability</t>
  </si>
  <si>
    <t xml:space="preserve">Debt-to-Equity methodology may differ slightly between Suzuki (total liabilities / equity, calculated in this workbook) and Toyota/Honda (total debt / equity, per StockAnalysis.com) — comparisons are directional, not exact.</t>
  </si>
  <si>
    <t xml:space="preserve">Analysis Date</t>
  </si>
  <si>
    <t xml:space="preserve">July 2026.</t>
  </si>
  <si>
    <t xml:space="preserve">Purpose</t>
  </si>
  <si>
    <t xml:space="preserve">This model was built for independent educational and portfolio purposes, applying financial statement analysis techniques to publicly available data.</t>
  </si>
  <si>
    <t xml:space="preserve">Data Correction Log</t>
  </si>
  <si>
    <t xml:space="preserve">The originally sourced Net Income figures ($5,847.24M FY2024 / $4,356.55M FY2023) did not reconcile with EPS x Shares Outstanding ($3.82 x 484M = $1,849M implied). Cross-checked against independently reported figures (MacroTrends), corrected Net Income of $1,847.24M (FY2024) and $1,636.00M (FY2023) was used throughout this model. EBITDA and EBIT were recalculated accordingly as Operating Income + D&amp;A and Operating Income, respectively.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</si>
</sst>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x"/>
    <numFmt numFmtId="166" formatCode="0.0%"/>
    <numFmt numFmtId="167" formatCode="\$0.00"/>
    <numFmt numFmtId="168" formatCode="#,##0"/>
    <numFmt numFmtId="169" formatCode="#,##0.0"/>
    <numFmt numFmtId="170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FF000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  <fill>
      <patternFill patternType="solid">
        <fgColor rgb="FFFFF2CC"/>
        <bgColor rgb="FFFC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000"/>
      <rgbColor rgb="FFBF8F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Profitability Trend (FY2023 vs FY2024)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Dashboard'!B20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0070c0"/>
            </a:solidFill>
            <a:ln w="0">
              <a:solidFill>
                <a:srgbClr val="0070c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Dashboard'!$A$21:$A$24</c:f>
              <c:strCache>
                <c:ptCount val="4"/>
                <c:pt idx="0">
                  <c:v>Revenue</c:v>
                </c:pt>
                <c:pt idx="1">
                  <c:v>Gross Profit</c:v>
                </c:pt>
                <c:pt idx="2">
                  <c:v>Operating Income</c:v>
                </c:pt>
                <c:pt idx="3">
                  <c:v>Net Income</c:v>
                </c:pt>
              </c:strCache>
            </c:strRef>
          </c:cat>
          <c:val>
            <c:numRef>
              <c:f>'Summary Dashboard'!$B$21:$B$24</c:f>
              <c:numCache>
                <c:formatCode>#,##0</c:formatCode>
                <c:ptCount val="4"/>
                <c:pt idx="0">
                  <c:v>37082.3</c:v>
                </c:pt>
                <c:pt idx="1">
                  <c:v>9849.55</c:v>
                </c:pt>
                <c:pt idx="2">
                  <c:v>4002.32</c:v>
                </c:pt>
                <c:pt idx="3">
                  <c:v>1847.24</c:v>
                </c:pt>
              </c:numCache>
            </c:numRef>
          </c:val>
        </c:ser>
        <c:ser>
          <c:idx val="1"/>
          <c:order val="1"/>
          <c:tx>
            <c:strRef>
              <c:f>'Summary Dashboard'!C20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ff0000"/>
            </a:solidFill>
            <a:ln w="0">
              <a:solidFill>
                <a:srgbClr val="ff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Dashboard'!$A$21:$A$24</c:f>
              <c:strCache>
                <c:ptCount val="4"/>
                <c:pt idx="0">
                  <c:v>Revenue</c:v>
                </c:pt>
                <c:pt idx="1">
                  <c:v>Gross Profit</c:v>
                </c:pt>
                <c:pt idx="2">
                  <c:v>Operating Income</c:v>
                </c:pt>
                <c:pt idx="3">
                  <c:v>Net Income</c:v>
                </c:pt>
              </c:strCache>
            </c:strRef>
          </c:cat>
          <c:val>
            <c:numRef>
              <c:f>'Summary Dashboard'!$C$21:$C$24</c:f>
              <c:numCache>
                <c:formatCode>#,##0</c:formatCode>
                <c:ptCount val="4"/>
                <c:pt idx="0">
                  <c:v>34348.1</c:v>
                </c:pt>
                <c:pt idx="1">
                  <c:v>8709.48</c:v>
                </c:pt>
                <c:pt idx="2">
                  <c:v>2788.25</c:v>
                </c:pt>
                <c:pt idx="3">
                  <c:v>1636</c:v>
                </c:pt>
              </c:numCache>
            </c:numRef>
          </c:val>
        </c:ser>
        <c:gapWidth val="150"/>
        <c:overlap val="0"/>
        <c:axId val="66063489"/>
        <c:axId val="75074192"/>
      </c:barChart>
      <c:catAx>
        <c:axId val="660634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74192"/>
        <c:crosses val="autoZero"/>
        <c:auto val="1"/>
        <c:lblAlgn val="ctr"/>
        <c:lblOffset val="100"/>
        <c:noMultiLvlLbl val="0"/>
      </c:catAx>
      <c:valAx>
        <c:axId val="750741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63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Comparison: FY2024 vs FY2023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Dashboard'!B5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0070c0"/>
            </a:solidFill>
            <a:ln w="0">
              <a:solidFill>
                <a:srgbClr val="0070c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Dashboard'!$A$6:$A$7</c:f>
              <c:strCache>
                <c:ptCount val="2"/>
                <c:pt idx="0">
                  <c:v>Current Ratio</c:v>
                </c:pt>
                <c:pt idx="1">
                  <c:v>Gross Profit Margin</c:v>
                </c:pt>
              </c:strCache>
            </c:strRef>
          </c:cat>
          <c:val>
            <c:numRef>
              <c:f>'Summary Dashboard'!$B$6:$B$7</c:f>
              <c:numCache>
                <c:formatCode>0.00\x</c:formatCode>
                <c:ptCount val="2"/>
                <c:pt idx="0">
                  <c:v>1.40009922402154</c:v>
                </c:pt>
                <c:pt idx="1">
                  <c:v>0.265613244054441</c:v>
                </c:pt>
              </c:numCache>
            </c:numRef>
          </c:val>
        </c:ser>
        <c:ser>
          <c:idx val="1"/>
          <c:order val="1"/>
          <c:tx>
            <c:strRef>
              <c:f>'Summary Dashboard'!C5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ff0000"/>
            </a:solidFill>
            <a:ln w="0">
              <a:solidFill>
                <a:srgbClr val="ff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Dashboard'!$A$6:$A$7</c:f>
              <c:strCache>
                <c:ptCount val="2"/>
                <c:pt idx="0">
                  <c:v>Current Ratio</c:v>
                </c:pt>
                <c:pt idx="1">
                  <c:v>Gross Profit Margin</c:v>
                </c:pt>
              </c:strCache>
            </c:strRef>
          </c:cat>
          <c:val>
            <c:numRef>
              <c:f>'Summary Dashboard'!$C$6:$C$7</c:f>
              <c:numCache>
                <c:formatCode>0.00\x</c:formatCode>
                <c:ptCount val="2"/>
                <c:pt idx="0">
                  <c:v>1.47133513763477</c:v>
                </c:pt>
                <c:pt idx="1">
                  <c:v>0.253565117138939</c:v>
                </c:pt>
              </c:numCache>
            </c:numRef>
          </c:val>
        </c:ser>
        <c:gapWidth val="150"/>
        <c:overlap val="0"/>
        <c:axId val="62448128"/>
        <c:axId val="80341857"/>
      </c:barChart>
      <c:catAx>
        <c:axId val="62448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41857"/>
        <c:crosses val="autoZero"/>
        <c:auto val="1"/>
        <c:lblAlgn val="ctr"/>
        <c:lblOffset val="100"/>
        <c:noMultiLvlLbl val="0"/>
      </c:catAx>
      <c:valAx>
        <c:axId val="80341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48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Net Income Trend (FY2020–FY2024)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'5-Year Trend'!B4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0070c0"/>
            </a:solidFill>
            <a:ln w="2484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Trend'!$A$5:$A$9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'5-Year Trend'!$B$5:$B$9</c:f>
              <c:numCache>
                <c:formatCode>#,##0</c:formatCode>
                <c:ptCount val="5"/>
                <c:pt idx="0">
                  <c:v>32094</c:v>
                </c:pt>
                <c:pt idx="1">
                  <c:v>29875</c:v>
                </c:pt>
                <c:pt idx="2">
                  <c:v>31759</c:v>
                </c:pt>
                <c:pt idx="3">
                  <c:v>34348</c:v>
                </c:pt>
                <c:pt idx="4">
                  <c:v>37082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'5-Year Trend'!C4</c:f>
              <c:strCache>
                <c:ptCount val="1"/>
                <c:pt idx="0">
                  <c:v>Net Income ($M)</c:v>
                </c:pt>
              </c:strCache>
            </c:strRef>
          </c:tx>
          <c:spPr>
            <a:solidFill>
              <a:srgbClr val="ff0000"/>
            </a:solidFill>
            <a:ln w="248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Trend'!$A$5:$A$9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'5-Year Trend'!$C$5:$C$9</c:f>
              <c:numCache>
                <c:formatCode>#,##0</c:formatCode>
                <c:ptCount val="5"/>
                <c:pt idx="0">
                  <c:v>1235</c:v>
                </c:pt>
                <c:pt idx="1">
                  <c:v>1376</c:v>
                </c:pt>
                <c:pt idx="2">
                  <c:v>1427</c:v>
                </c:pt>
                <c:pt idx="3">
                  <c:v>1636</c:v>
                </c:pt>
                <c:pt idx="4">
                  <c:v>1847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110144"/>
        <c:axId val="73481552"/>
      </c:lineChart>
      <c:catAx>
        <c:axId val="90110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81552"/>
        <c:crosses val="autoZero"/>
        <c:auto val="1"/>
        <c:lblAlgn val="ctr"/>
        <c:lblOffset val="100"/>
        <c:noMultiLvlLbl val="0"/>
      </c:catAx>
      <c:valAx>
        <c:axId val="734815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0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Suzuki vs. Toyota vs. Honda — Key Ratios (FY2024)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'Peer Benchmarking'!B4</c:f>
              <c:strCache>
                <c:ptCount val="1"/>
                <c:pt idx="0">
                  <c:v>Suzuki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'Peer Benchmarking'!$A$5:$A$11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Asset Turnover</c:v>
                </c:pt>
                <c:pt idx="3">
                  <c:v>Inventory Turnover</c:v>
                </c:pt>
                <c:pt idx="4">
                  <c:v>Return on Equity (ROE)</c:v>
                </c:pt>
                <c:pt idx="5">
                  <c:v>Return on Assets (ROA)</c:v>
                </c:pt>
                <c:pt idx="6">
                  <c:v>Debt-to-Equity</c:v>
                </c:pt>
              </c:strCache>
            </c:strRef>
          </c:cat>
          <c:val>
            <c:numRef>
              <c:f>'Peer Benchmarking'!$B$5:$B$11</c:f>
              <c:numCache>
                <c:formatCode>0.00\x</c:formatCode>
                <c:ptCount val="7"/>
                <c:pt idx="0">
                  <c:v>1.40009922402154</c:v>
                </c:pt>
                <c:pt idx="1">
                  <c:v>1.06021108412233</c:v>
                </c:pt>
                <c:pt idx="2">
                  <c:v>1.0440446619559</c:v>
                </c:pt>
                <c:pt idx="3">
                  <c:v>7.09670047054234</c:v>
                </c:pt>
                <c:pt idx="4">
                  <c:v>0.091859688259674</c:v>
                </c:pt>
                <c:pt idx="5">
                  <c:v>0.0520086688622717</c:v>
                </c:pt>
                <c:pt idx="6">
                  <c:v>0.71604077406818</c:v>
                </c:pt>
              </c:numCache>
            </c:numRef>
          </c:val>
        </c:ser>
        <c:ser>
          <c:idx val="1"/>
          <c:order val="1"/>
          <c:tx>
            <c:strRef>
              <c:f>'Peer Benchmarking'!C4</c:f>
              <c:strCache>
                <c:ptCount val="1"/>
                <c:pt idx="0">
                  <c:v>Toyota</c:v>
                </c:pt>
              </c:strCache>
            </c:strRef>
          </c:tx>
          <c:spPr>
            <a:solidFill>
              <a:srgbClr val="0070c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'Peer Benchmarking'!$A$5:$A$11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Asset Turnover</c:v>
                </c:pt>
                <c:pt idx="3">
                  <c:v>Inventory Turnover</c:v>
                </c:pt>
                <c:pt idx="4">
                  <c:v>Return on Equity (ROE)</c:v>
                </c:pt>
                <c:pt idx="5">
                  <c:v>Return on Assets (ROA)</c:v>
                </c:pt>
                <c:pt idx="6">
                  <c:v>Debt-to-Equity</c:v>
                </c:pt>
              </c:strCache>
            </c:strRef>
          </c:cat>
          <c:val>
            <c:numRef>
              <c:f>'Peer Benchmarking'!$C$5:$C$11</c:f>
              <c:numCache>
                <c:formatCode>0.00\x</c:formatCode>
                <c:ptCount val="7"/>
                <c:pt idx="0">
                  <c:v>1.19</c:v>
                </c:pt>
                <c:pt idx="1">
                  <c:v>0.83</c:v>
                </c:pt>
                <c:pt idx="2">
                  <c:v>0.55</c:v>
                </c:pt>
                <c:pt idx="3">
                  <c:v>8.06</c:v>
                </c:pt>
                <c:pt idx="4">
                  <c:v>0.1572</c:v>
                </c:pt>
                <c:pt idx="5">
                  <c:v>0.0474</c:v>
                </c:pt>
                <c:pt idx="6">
                  <c:v>1.04</c:v>
                </c:pt>
              </c:numCache>
            </c:numRef>
          </c:val>
        </c:ser>
        <c:ser>
          <c:idx val="2"/>
          <c:order val="2"/>
          <c:tx>
            <c:strRef>
              <c:f>'Peer Benchmarking'!D4</c:f>
              <c:strCache>
                <c:ptCount val="1"/>
                <c:pt idx="0">
                  <c:v>Honda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'Peer Benchmarking'!$A$5:$A$11</c:f>
              <c:strCache>
                <c:ptCount val="7"/>
                <c:pt idx="0">
                  <c:v>Current Ratio</c:v>
                </c:pt>
                <c:pt idx="1">
                  <c:v>Quick Ratio</c:v>
                </c:pt>
                <c:pt idx="2">
                  <c:v>Asset Turnover</c:v>
                </c:pt>
                <c:pt idx="3">
                  <c:v>Inventory Turnover</c:v>
                </c:pt>
                <c:pt idx="4">
                  <c:v>Return on Equity (ROE)</c:v>
                </c:pt>
                <c:pt idx="5">
                  <c:v>Return on Assets (ROA)</c:v>
                </c:pt>
                <c:pt idx="6">
                  <c:v>Debt-to-Equity</c:v>
                </c:pt>
              </c:strCache>
            </c:strRef>
          </c:cat>
          <c:val>
            <c:numRef>
              <c:f>'Peer Benchmarking'!$D$5:$D$11</c:f>
              <c:numCache>
                <c:formatCode>0.00\x</c:formatCode>
                <c:ptCount val="7"/>
                <c:pt idx="0">
                  <c:v>1.43</c:v>
                </c:pt>
                <c:pt idx="1">
                  <c:v>1.08</c:v>
                </c:pt>
                <c:pt idx="2">
                  <c:v>0.75</c:v>
                </c:pt>
                <c:pt idx="3">
                  <c:v>6.95</c:v>
                </c:pt>
                <c:pt idx="4">
                  <c:v>0.0965</c:v>
                </c:pt>
                <c:pt idx="5">
                  <c:v>0.0366</c:v>
                </c:pt>
                <c:pt idx="6">
                  <c:v>0.78</c:v>
                </c:pt>
              </c:numCache>
            </c:numRef>
          </c:val>
        </c:ser>
        <c:gapWidth val="150"/>
        <c:overlap val="0"/>
        <c:axId val="91071023"/>
        <c:axId val="35495902"/>
      </c:barChart>
      <c:catAx>
        <c:axId val="910710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95902"/>
        <c:crosses val="autoZero"/>
        <c:auto val="1"/>
        <c:lblAlgn val="ctr"/>
        <c:lblOffset val="100"/>
        <c:noMultiLvlLbl val="0"/>
      </c:catAx>
      <c:valAx>
        <c:axId val="35495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71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14</xdr:col>
      <xdr:colOff>252000</xdr:colOff>
      <xdr:row>20</xdr:row>
      <xdr:rowOff>128160</xdr:rowOff>
    </xdr:to>
    <xdr:graphicFrame>
      <xdr:nvGraphicFramePr>
        <xdr:cNvPr id="0" name="Chart 1"/>
        <xdr:cNvGraphicFramePr/>
      </xdr:nvGraphicFramePr>
      <xdr:xfrm>
        <a:off x="5404320" y="902520"/>
        <a:ext cx="57556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14</xdr:col>
      <xdr:colOff>252000</xdr:colOff>
      <xdr:row>37</xdr:row>
      <xdr:rowOff>128160</xdr:rowOff>
    </xdr:to>
    <xdr:graphicFrame>
      <xdr:nvGraphicFramePr>
        <xdr:cNvPr id="1" name="Chart 2"/>
        <xdr:cNvGraphicFramePr/>
      </xdr:nvGraphicFramePr>
      <xdr:xfrm>
        <a:off x="5404320" y="4141080"/>
        <a:ext cx="57556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511560</xdr:rowOff>
    </xdr:from>
    <xdr:to>
      <xdr:col>6</xdr:col>
      <xdr:colOff>370080</xdr:colOff>
      <xdr:row>28</xdr:row>
      <xdr:rowOff>131400</xdr:rowOff>
    </xdr:to>
    <xdr:graphicFrame>
      <xdr:nvGraphicFramePr>
        <xdr:cNvPr id="2" name="Chart 1"/>
        <xdr:cNvGraphicFramePr/>
      </xdr:nvGraphicFramePr>
      <xdr:xfrm>
        <a:off x="0" y="266436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18</xdr:col>
      <xdr:colOff>471960</xdr:colOff>
      <xdr:row>20</xdr:row>
      <xdr:rowOff>110160</xdr:rowOff>
    </xdr:to>
    <xdr:graphicFrame>
      <xdr:nvGraphicFramePr>
        <xdr:cNvPr id="3" name="Chart 1"/>
        <xdr:cNvGraphicFramePr/>
      </xdr:nvGraphicFramePr>
      <xdr:xfrm>
        <a:off x="7095960" y="569160"/>
        <a:ext cx="719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4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1</v>
      </c>
      <c r="B2" s="5"/>
      <c r="C2" s="5"/>
      <c r="D2" s="5"/>
      <c r="E2" s="5"/>
      <c r="F2" s="5"/>
    </row>
    <row r="4" customFormat="false" ht="21.75" hidden="false" customHeight="true" outlineLevel="0" collapsed="false">
      <c r="A4" s="6" t="s">
        <v>2</v>
      </c>
      <c r="B4" s="6"/>
      <c r="C4" s="6"/>
    </row>
    <row r="6" customFormat="false" ht="15.75" hidden="false" customHeight="true" outlineLevel="0" collapsed="false">
      <c r="A6" s="7" t="s">
        <v>3</v>
      </c>
    </row>
    <row r="7" customFormat="false" ht="30" hidden="false" customHeight="true" outlineLevel="0" collapsed="false">
      <c r="A7" s="8" t="s">
        <v>4</v>
      </c>
      <c r="B7" s="9" t="s">
        <v>5</v>
      </c>
      <c r="C7" s="9"/>
      <c r="D7" s="9"/>
      <c r="E7" s="9"/>
      <c r="F7" s="9"/>
    </row>
    <row r="8" customFormat="false" ht="30" hidden="false" customHeight="true" outlineLevel="0" collapsed="false">
      <c r="A8" s="8" t="s">
        <v>6</v>
      </c>
      <c r="B8" s="9" t="s">
        <v>7</v>
      </c>
      <c r="C8" s="9"/>
      <c r="D8" s="9"/>
      <c r="E8" s="9"/>
      <c r="F8" s="9"/>
    </row>
    <row r="9" customFormat="false" ht="30" hidden="false" customHeight="true" outlineLevel="0" collapsed="false">
      <c r="A9" s="8" t="s">
        <v>8</v>
      </c>
      <c r="B9" s="9" t="s">
        <v>9</v>
      </c>
      <c r="C9" s="9"/>
      <c r="D9" s="9"/>
      <c r="E9" s="9"/>
      <c r="F9" s="9"/>
    </row>
    <row r="10" customFormat="false" ht="30" hidden="false" customHeight="true" outlineLevel="0" collapsed="false">
      <c r="A10" s="8" t="s">
        <v>10</v>
      </c>
      <c r="B10" s="9" t="s">
        <v>11</v>
      </c>
      <c r="C10" s="9"/>
      <c r="D10" s="9"/>
      <c r="E10" s="9"/>
      <c r="F10" s="9"/>
    </row>
    <row r="11" customFormat="false" ht="30" hidden="false" customHeight="true" outlineLevel="0" collapsed="false">
      <c r="A11" s="8" t="s">
        <v>12</v>
      </c>
      <c r="B11" s="9" t="s">
        <v>13</v>
      </c>
      <c r="C11" s="9"/>
      <c r="D11" s="9"/>
      <c r="E11" s="9"/>
      <c r="F11" s="9"/>
    </row>
    <row r="12" customFormat="false" ht="30" hidden="false" customHeight="true" outlineLevel="0" collapsed="false">
      <c r="A12" s="8" t="s">
        <v>14</v>
      </c>
      <c r="B12" s="9" t="s">
        <v>15</v>
      </c>
      <c r="C12" s="9"/>
      <c r="D12" s="9"/>
      <c r="E12" s="9"/>
      <c r="F12" s="9"/>
    </row>
    <row r="14" customFormat="false" ht="15.75" hidden="false" customHeight="true" outlineLevel="0" collapsed="false">
      <c r="A14" s="7" t="s">
        <v>16</v>
      </c>
    </row>
    <row r="15" customFormat="false" ht="75" hidden="false" customHeight="true" outlineLevel="0" collapsed="false">
      <c r="A15" s="10" t="s">
        <v>17</v>
      </c>
      <c r="B15" s="10"/>
      <c r="C15" s="10"/>
      <c r="D15" s="10"/>
      <c r="E15" s="10"/>
      <c r="F15" s="10"/>
    </row>
  </sheetData>
  <mergeCells count="8">
    <mergeCell ref="A4:C4"/>
    <mergeCell ref="B7:F7"/>
    <mergeCell ref="B8:F8"/>
    <mergeCell ref="B9:F9"/>
    <mergeCell ref="B10:F10"/>
    <mergeCell ref="B11:F11"/>
    <mergeCell ref="B12:F1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4"/>
  </cols>
  <sheetData>
    <row r="1" customFormat="false" ht="27.75" hidden="false" customHeight="true" outlineLevel="0" collapsed="false">
      <c r="A1" s="11" t="s">
        <v>18</v>
      </c>
      <c r="B1" s="3"/>
      <c r="C1" s="3"/>
      <c r="D1" s="3"/>
      <c r="E1" s="3"/>
      <c r="F1" s="3"/>
      <c r="G1" s="3"/>
      <c r="H1" s="3"/>
    </row>
    <row r="2" customFormat="false" ht="18" hidden="false" customHeight="true" outlineLevel="0" collapsed="false">
      <c r="A2" s="4" t="s">
        <v>19</v>
      </c>
      <c r="B2" s="5"/>
      <c r="C2" s="5"/>
      <c r="D2" s="5"/>
      <c r="E2" s="5"/>
      <c r="F2" s="5"/>
      <c r="G2" s="5"/>
      <c r="H2" s="5"/>
    </row>
    <row r="4" customFormat="false" ht="15" hidden="false" customHeight="true" outlineLevel="0" collapsed="false">
      <c r="A4" s="12" t="s">
        <v>20</v>
      </c>
    </row>
    <row r="5" customFormat="false" ht="15" hidden="false" customHeight="true" outlineLevel="0" collapsed="false">
      <c r="A5" s="13" t="s">
        <v>21</v>
      </c>
      <c r="B5" s="13" t="s">
        <v>22</v>
      </c>
      <c r="C5" s="13" t="s">
        <v>23</v>
      </c>
      <c r="D5" s="13" t="s">
        <v>24</v>
      </c>
      <c r="E5" s="13"/>
      <c r="F5" s="13"/>
    </row>
    <row r="6" customFormat="false" ht="15" hidden="false" customHeight="true" outlineLevel="0" collapsed="false">
      <c r="A6" s="14" t="s">
        <v>25</v>
      </c>
      <c r="B6" s="15" t="n">
        <f aca="false">'Ratio Analysis'!C6</f>
        <v>1.40009922402154</v>
      </c>
      <c r="C6" s="15" t="n">
        <f aca="false">'Ratio Analysis'!D6</f>
        <v>1.47133513763477</v>
      </c>
      <c r="D6" s="15" t="n">
        <f aca="false">B6-C6</f>
        <v>-0.0712359136132297</v>
      </c>
    </row>
    <row r="7" customFormat="false" ht="15" hidden="false" customHeight="true" outlineLevel="0" collapsed="false">
      <c r="A7" s="14" t="s">
        <v>26</v>
      </c>
      <c r="B7" s="16" t="n">
        <f aca="false">'Ratio Analysis'!C8</f>
        <v>0.265613244054441</v>
      </c>
      <c r="C7" s="16" t="n">
        <f aca="false">'Ratio Analysis'!D8</f>
        <v>0.253565117138939</v>
      </c>
      <c r="D7" s="16" t="n">
        <f aca="false">B7-C7</f>
        <v>0.0120481269155018</v>
      </c>
    </row>
    <row r="8" customFormat="false" ht="15" hidden="false" customHeight="true" outlineLevel="0" collapsed="false">
      <c r="A8" s="14" t="s">
        <v>27</v>
      </c>
      <c r="B8" s="16" t="n">
        <f aca="false">'Ratio Analysis'!C9</f>
        <v>0.0498146015754147</v>
      </c>
      <c r="C8" s="16" t="n">
        <f aca="false">'Ratio Analysis'!D9</f>
        <v>0.0476299999126589</v>
      </c>
      <c r="D8" s="16" t="n">
        <f aca="false">B8-C8</f>
        <v>0.00218460166275575</v>
      </c>
    </row>
    <row r="9" customFormat="false" ht="15" hidden="false" customHeight="true" outlineLevel="0" collapsed="false">
      <c r="A9" s="14" t="s">
        <v>28</v>
      </c>
      <c r="B9" s="17" t="n">
        <f aca="false">'Ratio Analysis'!C16</f>
        <v>3.82</v>
      </c>
      <c r="C9" s="17" t="n">
        <f aca="false">'Ratio Analysis'!D16</f>
        <v>3.37</v>
      </c>
      <c r="D9" s="17" t="n">
        <f aca="false">B9-C9</f>
        <v>0.45</v>
      </c>
    </row>
    <row r="11" customFormat="false" ht="15" hidden="false" customHeight="true" outlineLevel="0" collapsed="false">
      <c r="A11" s="12" t="s">
        <v>29</v>
      </c>
    </row>
    <row r="12" customFormat="false" ht="15" hidden="false" customHeight="true" outlineLevel="0" collapsed="false">
      <c r="A12" s="13" t="s">
        <v>30</v>
      </c>
      <c r="B12" s="13" t="s">
        <v>22</v>
      </c>
      <c r="C12" s="13"/>
      <c r="D12" s="13"/>
      <c r="E12" s="13"/>
      <c r="F12" s="13"/>
    </row>
    <row r="13" customFormat="false" ht="15" hidden="false" customHeight="true" outlineLevel="0" collapsed="false">
      <c r="A13" s="14" t="s">
        <v>31</v>
      </c>
      <c r="B13" s="16" t="n">
        <f aca="false">'Ratio Analysis'!C10</f>
        <v>0.091859688259674</v>
      </c>
    </row>
    <row r="14" customFormat="false" ht="15" hidden="false" customHeight="true" outlineLevel="0" collapsed="false">
      <c r="A14" s="14" t="s">
        <v>32</v>
      </c>
      <c r="B14" s="16" t="n">
        <f aca="false">'Ratio Analysis'!C11</f>
        <v>0.0520086688622717</v>
      </c>
    </row>
    <row r="15" customFormat="false" ht="15" hidden="false" customHeight="true" outlineLevel="0" collapsed="false">
      <c r="A15" s="14" t="s">
        <v>33</v>
      </c>
      <c r="B15" s="15" t="n">
        <f aca="false">'Ratio Analysis'!C13</f>
        <v>1.0440446619559</v>
      </c>
    </row>
    <row r="16" customFormat="false" ht="15" hidden="false" customHeight="true" outlineLevel="0" collapsed="false">
      <c r="A16" s="14" t="s">
        <v>34</v>
      </c>
      <c r="B16" s="15" t="n">
        <f aca="false">'Ratio Analysis'!C14</f>
        <v>7.09670047054234</v>
      </c>
    </row>
    <row r="19" customFormat="false" ht="15" hidden="false" customHeight="true" outlineLevel="0" collapsed="false">
      <c r="A19" s="12" t="s">
        <v>35</v>
      </c>
    </row>
    <row r="20" customFormat="false" ht="15" hidden="false" customHeight="true" outlineLevel="0" collapsed="false">
      <c r="A20" s="13" t="s">
        <v>30</v>
      </c>
      <c r="B20" s="13" t="s">
        <v>22</v>
      </c>
      <c r="C20" s="13" t="s">
        <v>23</v>
      </c>
      <c r="D20" s="13"/>
      <c r="E20" s="13"/>
      <c r="F20" s="13"/>
    </row>
    <row r="21" customFormat="false" ht="15" hidden="false" customHeight="true" outlineLevel="0" collapsed="false">
      <c r="A21" s="14" t="s">
        <v>36</v>
      </c>
      <c r="B21" s="18" t="n">
        <f aca="false">'Income Statement'!B5</f>
        <v>37082.3</v>
      </c>
      <c r="C21" s="18" t="n">
        <f aca="false">'Income Statement'!C5</f>
        <v>34348.1</v>
      </c>
    </row>
    <row r="22" customFormat="false" ht="15" hidden="false" customHeight="true" outlineLevel="0" collapsed="false">
      <c r="A22" s="14" t="s">
        <v>37</v>
      </c>
      <c r="B22" s="18" t="n">
        <f aca="false">'Income Statement'!B7</f>
        <v>9849.55</v>
      </c>
      <c r="C22" s="18" t="n">
        <f aca="false">'Income Statement'!C7</f>
        <v>8709.48</v>
      </c>
    </row>
    <row r="23" customFormat="false" ht="15" hidden="false" customHeight="true" outlineLevel="0" collapsed="false">
      <c r="A23" s="14" t="s">
        <v>38</v>
      </c>
      <c r="B23" s="18" t="n">
        <f aca="false">'Income Statement'!B12</f>
        <v>4002.32</v>
      </c>
      <c r="C23" s="18" t="n">
        <f aca="false">'Income Statement'!C12</f>
        <v>2788.25</v>
      </c>
    </row>
    <row r="24" customFormat="false" ht="15" hidden="false" customHeight="true" outlineLevel="0" collapsed="false">
      <c r="A24" s="14" t="s">
        <v>39</v>
      </c>
      <c r="B24" s="18" t="n">
        <f aca="false">'Income Statement'!B18</f>
        <v>1847.24</v>
      </c>
      <c r="C24" s="18" t="n">
        <f aca="false">'Income Statement'!C18</f>
        <v>1636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19" t="s">
        <v>40</v>
      </c>
    </row>
    <row r="2" customFormat="false" ht="15" hidden="false" customHeight="true" outlineLevel="0" collapsed="false">
      <c r="A2" s="20" t="s">
        <v>41</v>
      </c>
    </row>
    <row r="4" customFormat="false" ht="1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</row>
    <row r="5" customFormat="false" ht="15" hidden="false" customHeight="true" outlineLevel="0" collapsed="false">
      <c r="A5" s="21" t="s">
        <v>47</v>
      </c>
      <c r="B5" s="22" t="n">
        <v>32094</v>
      </c>
      <c r="C5" s="22" t="n">
        <v>1235</v>
      </c>
      <c r="D5" s="23" t="n">
        <f aca="false">C5/B5</f>
        <v>0.0384807129058391</v>
      </c>
      <c r="E5" s="21" t="s">
        <v>48</v>
      </c>
    </row>
    <row r="6" customFormat="false" ht="15" hidden="false" customHeight="true" outlineLevel="0" collapsed="false">
      <c r="A6" s="21" t="s">
        <v>49</v>
      </c>
      <c r="B6" s="22" t="n">
        <v>29875</v>
      </c>
      <c r="C6" s="22" t="n">
        <v>1376</v>
      </c>
      <c r="D6" s="23" t="n">
        <f aca="false">C6/B6</f>
        <v>0.0460585774058577</v>
      </c>
      <c r="E6" s="23" t="n">
        <f aca="false">(B6-B5)/B5</f>
        <v>-0.0691406493425563</v>
      </c>
    </row>
    <row r="7" customFormat="false" ht="15" hidden="false" customHeight="true" outlineLevel="0" collapsed="false">
      <c r="A7" s="21" t="s">
        <v>50</v>
      </c>
      <c r="B7" s="22" t="n">
        <v>31759</v>
      </c>
      <c r="C7" s="22" t="n">
        <v>1427</v>
      </c>
      <c r="D7" s="23" t="n">
        <f aca="false">C7/B7</f>
        <v>0.0449321452186782</v>
      </c>
      <c r="E7" s="23" t="n">
        <f aca="false">(B7-B6)/B6</f>
        <v>0.0630627615062762</v>
      </c>
    </row>
    <row r="8" customFormat="false" ht="15" hidden="false" customHeight="true" outlineLevel="0" collapsed="false">
      <c r="A8" s="21" t="s">
        <v>23</v>
      </c>
      <c r="B8" s="22" t="n">
        <v>34348</v>
      </c>
      <c r="C8" s="22" t="n">
        <v>1636</v>
      </c>
      <c r="D8" s="23" t="n">
        <f aca="false">C8/B8</f>
        <v>0.0476301385815768</v>
      </c>
      <c r="E8" s="23" t="n">
        <f aca="false">(B8-B7)/B7</f>
        <v>0.081520198998709</v>
      </c>
    </row>
    <row r="9" customFormat="false" ht="15" hidden="false" customHeight="true" outlineLevel="0" collapsed="false">
      <c r="A9" s="21" t="s">
        <v>22</v>
      </c>
      <c r="B9" s="22" t="n">
        <v>37082</v>
      </c>
      <c r="C9" s="22" t="n">
        <v>1847</v>
      </c>
      <c r="D9" s="23" t="n">
        <f aca="false">C9/B9</f>
        <v>0.0498085324416159</v>
      </c>
      <c r="E9" s="23" t="n">
        <f aca="false">(B9-B8)/B8</f>
        <v>0.0795970653313148</v>
      </c>
    </row>
    <row r="11" customFormat="false" ht="15" hidden="false" customHeight="true" outlineLevel="0" collapsed="false">
      <c r="A11" s="24" t="s">
        <v>51</v>
      </c>
    </row>
    <row r="12" customFormat="false" ht="45" hidden="false" customHeight="true" outlineLevel="0" collapsed="false">
      <c r="A12" s="10" t="s">
        <v>52</v>
      </c>
      <c r="B12" s="10"/>
      <c r="C12" s="10"/>
      <c r="D12" s="10"/>
      <c r="E12" s="10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50"/>
  </cols>
  <sheetData>
    <row r="1" customFormat="false" ht="19.5" hidden="false" customHeight="true" outlineLevel="0" collapsed="false">
      <c r="A1" s="19" t="s">
        <v>53</v>
      </c>
    </row>
    <row r="2" customFormat="false" ht="15" hidden="false" customHeight="true" outlineLevel="0" collapsed="false">
      <c r="A2" s="20" t="s">
        <v>54</v>
      </c>
    </row>
    <row r="4" customFormat="false" ht="15" hidden="false" customHeight="true" outlineLevel="0" collapsed="false">
      <c r="A4" s="13" t="s">
        <v>21</v>
      </c>
      <c r="B4" s="13" t="s">
        <v>55</v>
      </c>
      <c r="C4" s="13" t="s">
        <v>22</v>
      </c>
      <c r="D4" s="13" t="s">
        <v>23</v>
      </c>
      <c r="E4" s="13" t="s">
        <v>56</v>
      </c>
      <c r="F4" s="13"/>
    </row>
    <row r="5" customFormat="false" ht="15" hidden="false" customHeight="true" outlineLevel="0" collapsed="false">
      <c r="A5" s="25" t="s">
        <v>57</v>
      </c>
      <c r="B5" s="25"/>
      <c r="C5" s="25"/>
      <c r="D5" s="25"/>
      <c r="E5" s="25"/>
      <c r="F5" s="25"/>
    </row>
    <row r="6" customFormat="false" ht="15" hidden="false" customHeight="true" outlineLevel="0" collapsed="false">
      <c r="A6" s="14" t="s">
        <v>25</v>
      </c>
      <c r="B6" s="26" t="s">
        <v>58</v>
      </c>
      <c r="C6" s="27" t="n">
        <f aca="false">'Balance Sheet'!B11/'Balance Sheet'!B22</f>
        <v>1.40009922402154</v>
      </c>
      <c r="D6" s="28" t="n">
        <f aca="false">'Balance Sheet'!C11/'Balance Sheet'!C22</f>
        <v>1.47133513763477</v>
      </c>
      <c r="E6" s="14" t="s">
        <v>59</v>
      </c>
    </row>
    <row r="7" customFormat="false" ht="15" hidden="false" customHeight="true" outlineLevel="0" collapsed="false">
      <c r="A7" s="25" t="s">
        <v>60</v>
      </c>
      <c r="B7" s="25"/>
      <c r="C7" s="25"/>
      <c r="D7" s="25"/>
      <c r="E7" s="25"/>
      <c r="F7" s="25"/>
    </row>
    <row r="8" customFormat="false" ht="15" hidden="false" customHeight="true" outlineLevel="0" collapsed="false">
      <c r="A8" s="14" t="s">
        <v>26</v>
      </c>
      <c r="B8" s="26" t="s">
        <v>61</v>
      </c>
      <c r="C8" s="29" t="n">
        <f aca="false">'Income Statement'!B7/'Income Statement'!B5</f>
        <v>0.265613244054441</v>
      </c>
      <c r="D8" s="30" t="n">
        <f aca="false">'Income Statement'!C7/'Income Statement'!C5</f>
        <v>0.253565117138939</v>
      </c>
      <c r="E8" s="14" t="s">
        <v>62</v>
      </c>
    </row>
    <row r="9" customFormat="false" ht="15" hidden="false" customHeight="true" outlineLevel="0" collapsed="false">
      <c r="A9" s="14" t="s">
        <v>27</v>
      </c>
      <c r="B9" s="26" t="s">
        <v>63</v>
      </c>
      <c r="C9" s="29" t="n">
        <f aca="false">'Income Statement'!B18/'Income Statement'!B5</f>
        <v>0.0498146015754147</v>
      </c>
      <c r="D9" s="30" t="n">
        <f aca="false">'Income Statement'!C18/'Income Statement'!C5</f>
        <v>0.0476299999126589</v>
      </c>
      <c r="E9" s="14" t="s">
        <v>64</v>
      </c>
    </row>
    <row r="10" customFormat="false" ht="15" hidden="false" customHeight="true" outlineLevel="0" collapsed="false">
      <c r="A10" s="14" t="s">
        <v>31</v>
      </c>
      <c r="B10" s="26" t="s">
        <v>65</v>
      </c>
      <c r="C10" s="29" t="n">
        <f aca="false">'Income Statement'!B18/(('Balance Sheet'!B32+'Balance Sheet'!C32)/2)</f>
        <v>0.091859688259674</v>
      </c>
      <c r="D10" s="31" t="s">
        <v>66</v>
      </c>
      <c r="E10" s="14" t="s">
        <v>67</v>
      </c>
    </row>
    <row r="11" customFormat="false" ht="15" hidden="false" customHeight="true" outlineLevel="0" collapsed="false">
      <c r="A11" s="14" t="s">
        <v>32</v>
      </c>
      <c r="B11" s="26" t="s">
        <v>68</v>
      </c>
      <c r="C11" s="29" t="n">
        <f aca="false">'Income Statement'!B18/(('Balance Sheet'!B20+'Balance Sheet'!C20)/2)</f>
        <v>0.0520086688622717</v>
      </c>
      <c r="D11" s="31" t="s">
        <v>66</v>
      </c>
      <c r="E11" s="14" t="s">
        <v>69</v>
      </c>
    </row>
    <row r="12" customFormat="false" ht="15" hidden="false" customHeight="true" outlineLevel="0" collapsed="false">
      <c r="A12" s="25" t="s">
        <v>70</v>
      </c>
      <c r="B12" s="25"/>
      <c r="C12" s="25"/>
      <c r="D12" s="25"/>
      <c r="E12" s="25"/>
      <c r="F12" s="25"/>
    </row>
    <row r="13" customFormat="false" ht="15" hidden="false" customHeight="true" outlineLevel="0" collapsed="false">
      <c r="A13" s="14" t="s">
        <v>33</v>
      </c>
      <c r="B13" s="26" t="s">
        <v>71</v>
      </c>
      <c r="C13" s="27" t="n">
        <f aca="false">'Income Statement'!B5/(('Balance Sheet'!B20+'Balance Sheet'!C20)/2)</f>
        <v>1.0440446619559</v>
      </c>
      <c r="D13" s="31" t="s">
        <v>66</v>
      </c>
      <c r="E13" s="14" t="s">
        <v>72</v>
      </c>
    </row>
    <row r="14" customFormat="false" ht="15" hidden="false" customHeight="true" outlineLevel="0" collapsed="false">
      <c r="A14" s="14" t="s">
        <v>34</v>
      </c>
      <c r="B14" s="26" t="s">
        <v>73</v>
      </c>
      <c r="C14" s="27" t="n">
        <f aca="false">'Income Statement'!B6/(('Balance Sheet'!B8+'Balance Sheet'!C8)/2)</f>
        <v>7.09670047054234</v>
      </c>
      <c r="D14" s="31" t="s">
        <v>66</v>
      </c>
      <c r="E14" s="14" t="s">
        <v>74</v>
      </c>
    </row>
    <row r="15" customFormat="false" ht="15" hidden="false" customHeight="true" outlineLevel="0" collapsed="false">
      <c r="A15" s="25" t="s">
        <v>75</v>
      </c>
      <c r="B15" s="25"/>
      <c r="C15" s="25"/>
      <c r="D15" s="25"/>
      <c r="E15" s="25"/>
      <c r="F15" s="25"/>
    </row>
    <row r="16" customFormat="false" ht="15" hidden="false" customHeight="true" outlineLevel="0" collapsed="false">
      <c r="A16" s="14" t="s">
        <v>76</v>
      </c>
      <c r="B16" s="26" t="s">
        <v>77</v>
      </c>
      <c r="C16" s="32" t="n">
        <f aca="false">'Income Statement'!B22</f>
        <v>3.82</v>
      </c>
      <c r="D16" s="33" t="n">
        <f aca="false">'Income Statement'!C22</f>
        <v>3.37</v>
      </c>
      <c r="E16" s="14" t="s">
        <v>78</v>
      </c>
    </row>
    <row r="17" customFormat="false" ht="15" hidden="false" customHeight="true" outlineLevel="0" collapsed="false">
      <c r="A17" s="25" t="s">
        <v>79</v>
      </c>
      <c r="B17" s="25"/>
      <c r="C17" s="25"/>
      <c r="D17" s="25"/>
      <c r="E17" s="25"/>
      <c r="F17" s="25"/>
    </row>
    <row r="18" customFormat="false" ht="15" hidden="false" customHeight="true" outlineLevel="0" collapsed="false">
      <c r="A18" s="14" t="s">
        <v>80</v>
      </c>
      <c r="B18" s="26" t="s">
        <v>81</v>
      </c>
      <c r="C18" s="27" t="n">
        <f aca="false">('Balance Sheet'!B11-'Balance Sheet'!B8)/'Balance Sheet'!B22</f>
        <v>1.06021108412233</v>
      </c>
      <c r="D18" s="28" t="n">
        <f aca="false">('Balance Sheet'!C11-'Balance Sheet'!C8)/'Balance Sheet'!C22</f>
        <v>1.14503367393384</v>
      </c>
      <c r="E18" s="14" t="s">
        <v>82</v>
      </c>
    </row>
    <row r="19" customFormat="false" ht="15" hidden="false" customHeight="true" outlineLevel="0" collapsed="false">
      <c r="A19" s="25" t="s">
        <v>83</v>
      </c>
      <c r="B19" s="25"/>
      <c r="C19" s="25"/>
      <c r="D19" s="25"/>
      <c r="E19" s="25"/>
      <c r="F19" s="25"/>
    </row>
    <row r="20" customFormat="false" ht="15" hidden="false" customHeight="true" outlineLevel="0" collapsed="false">
      <c r="A20" s="14" t="s">
        <v>84</v>
      </c>
      <c r="B20" s="26" t="s">
        <v>85</v>
      </c>
      <c r="C20" s="29" t="n">
        <f aca="false">'Balance Sheet'!B26/'Balance Sheet'!B32</f>
        <v>0.71604077406818</v>
      </c>
      <c r="D20" s="30" t="n">
        <f aca="false">'Balance Sheet'!C26/'Balance Sheet'!C32</f>
        <v>0.824792782077367</v>
      </c>
      <c r="E20" s="14" t="s">
        <v>86</v>
      </c>
    </row>
    <row r="21" customFormat="false" ht="15" hidden="false" customHeight="true" outlineLevel="0" collapsed="false">
      <c r="A21" s="14" t="s">
        <v>87</v>
      </c>
      <c r="B21" s="26" t="s">
        <v>88</v>
      </c>
      <c r="C21" s="29" t="n">
        <f aca="false">'Balance Sheet'!B26/'Balance Sheet'!B20</f>
        <v>0.417263151436313</v>
      </c>
      <c r="D21" s="30" t="n">
        <f aca="false">'Balance Sheet'!C26/'Balance Sheet'!C20</f>
        <v>0.451992438099039</v>
      </c>
      <c r="E21" s="14" t="s">
        <v>89</v>
      </c>
    </row>
    <row r="22" customFormat="false" ht="15" hidden="false" customHeight="true" outlineLevel="0" collapsed="false">
      <c r="A22" s="14" t="s">
        <v>90</v>
      </c>
      <c r="B22" s="26" t="s">
        <v>91</v>
      </c>
      <c r="C22" s="27" t="n">
        <f aca="false">'Balance Sheet'!B20/'Balance Sheet'!B32</f>
        <v>1.71604123585658</v>
      </c>
      <c r="D22" s="28" t="n">
        <f aca="false">'Balance Sheet'!C20/'Balance Sheet'!C32</f>
        <v>1.82479332076047</v>
      </c>
      <c r="E22" s="14" t="s">
        <v>92</v>
      </c>
    </row>
    <row r="23" customFormat="false" ht="15" hidden="false" customHeight="true" outlineLevel="0" collapsed="false">
      <c r="A23" s="25" t="s">
        <v>93</v>
      </c>
      <c r="B23" s="25"/>
      <c r="C23" s="25"/>
      <c r="D23" s="25"/>
      <c r="E23" s="25"/>
      <c r="F23" s="25"/>
    </row>
    <row r="24" customFormat="false" ht="15" hidden="false" customHeight="true" outlineLevel="0" collapsed="false">
      <c r="A24" s="14" t="s">
        <v>94</v>
      </c>
      <c r="B24" s="26" t="s">
        <v>95</v>
      </c>
      <c r="C24" s="27" t="n">
        <f aca="false">'Cash Flow Statement'!B12/'Balance Sheet'!B22</f>
        <v>0.545270543617781</v>
      </c>
      <c r="D24" s="28" t="n">
        <f aca="false">'Cash Flow Statement'!C12/'Balance Sheet'!C22</f>
        <v>0.541251818156215</v>
      </c>
      <c r="E24" s="14" t="s">
        <v>96</v>
      </c>
    </row>
    <row r="25" customFormat="false" ht="15" hidden="false" customHeight="true" outlineLevel="0" collapsed="false">
      <c r="A25" s="14" t="s">
        <v>97</v>
      </c>
      <c r="B25" s="26" t="s">
        <v>98</v>
      </c>
      <c r="C25" s="29" t="n">
        <f aca="false">'Cash Flow Statement'!B12/'Income Statement'!B5</f>
        <v>0.176646405427927</v>
      </c>
      <c r="D25" s="30" t="n">
        <f aca="false">'Cash Flow Statement'!C12/'Income Statement'!C5</f>
        <v>0.17344700289099</v>
      </c>
      <c r="E25" s="14" t="s">
        <v>99</v>
      </c>
    </row>
    <row r="26" customFormat="false" ht="15" hidden="false" customHeight="true" outlineLevel="0" collapsed="false">
      <c r="A26" s="14" t="s">
        <v>100</v>
      </c>
      <c r="B26" s="26" t="s">
        <v>101</v>
      </c>
      <c r="C26" s="34" t="n">
        <f aca="false">'Cash Flow Statement'!B12+'Cash Flow Statement'!B13</f>
        <v>4483.712</v>
      </c>
      <c r="D26" s="35" t="n">
        <f aca="false">'Cash Flow Statement'!C12+'Cash Flow Statement'!C13</f>
        <v>3766.52</v>
      </c>
      <c r="E26" s="14" t="s">
        <v>102</v>
      </c>
    </row>
    <row r="28" customFormat="false" ht="15" hidden="false" customHeight="true" outlineLevel="0" collapsed="false">
      <c r="A28" s="3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16"/>
  </cols>
  <sheetData>
    <row r="1" customFormat="false" ht="19.5" hidden="false" customHeight="true" outlineLevel="0" collapsed="false">
      <c r="A1" s="19" t="s">
        <v>104</v>
      </c>
    </row>
    <row r="2" customFormat="false" ht="15" hidden="false" customHeight="true" outlineLevel="0" collapsed="false">
      <c r="A2" s="20" t="s">
        <v>105</v>
      </c>
    </row>
    <row r="4" customFormat="false" ht="21.75" hidden="false" customHeight="true" outlineLevel="0" collapsed="false">
      <c r="A4" s="37" t="s">
        <v>106</v>
      </c>
      <c r="B4" s="37"/>
      <c r="C4" s="37"/>
      <c r="D4" s="37"/>
      <c r="E4" s="13"/>
      <c r="F4" s="13"/>
    </row>
    <row r="5" customFormat="false" ht="15" hidden="false" customHeight="true" outlineLevel="0" collapsed="false">
      <c r="A5" s="14" t="s">
        <v>27</v>
      </c>
      <c r="B5" s="14" t="s">
        <v>63</v>
      </c>
      <c r="C5" s="16" t="n">
        <f aca="false">'Income Statement'!B18/'Income Statement'!B5</f>
        <v>0.0498146015754147</v>
      </c>
    </row>
    <row r="6" customFormat="false" ht="15" hidden="false" customHeight="true" outlineLevel="0" collapsed="false">
      <c r="A6" s="14" t="s">
        <v>107</v>
      </c>
      <c r="B6" s="14" t="s">
        <v>71</v>
      </c>
      <c r="C6" s="15" t="n">
        <f aca="false">'Income Statement'!B5/(('Balance Sheet'!B20+'Balance Sheet'!C20)/2)</f>
        <v>1.0440446619559</v>
      </c>
    </row>
    <row r="7" customFormat="false" ht="15" hidden="false" customHeight="true" outlineLevel="0" collapsed="false">
      <c r="A7" s="14" t="s">
        <v>108</v>
      </c>
      <c r="B7" s="14" t="s">
        <v>109</v>
      </c>
      <c r="C7" s="15" t="n">
        <f aca="false">(('Balance Sheet'!B20+'Balance Sheet'!C20)/2)/(('Balance Sheet'!B32+'Balance Sheet'!C32)/2)</f>
        <v>1.76623801895286</v>
      </c>
    </row>
    <row r="8" customFormat="false" ht="15" hidden="false" customHeight="true" outlineLevel="0" collapsed="false">
      <c r="A8" s="38" t="s">
        <v>31</v>
      </c>
      <c r="B8" s="38" t="s">
        <v>110</v>
      </c>
      <c r="C8" s="39" t="n">
        <f aca="false">C5*C6*C7</f>
        <v>0.091859688259674</v>
      </c>
    </row>
    <row r="10" customFormat="false" ht="15" hidden="false" customHeight="true" outlineLevel="0" collapsed="false">
      <c r="A10" s="40" t="s">
        <v>111</v>
      </c>
      <c r="C10" s="41" t="n">
        <f aca="false">'Income Statement'!B18/(('Balance Sheet'!B32+'Balance Sheet'!C32)/2)</f>
        <v>0.091859688259674</v>
      </c>
    </row>
    <row r="13" customFormat="false" ht="15" hidden="false" customHeight="true" outlineLevel="0" collapsed="false">
      <c r="A13" s="12" t="s">
        <v>56</v>
      </c>
    </row>
    <row r="14" customFormat="false" ht="15" hidden="false" customHeight="true" outlineLevel="0" collapsed="false">
      <c r="A14" s="42" t="s">
        <v>112</v>
      </c>
      <c r="B14" s="42"/>
      <c r="C14" s="42"/>
      <c r="D14" s="42"/>
      <c r="E14" s="42"/>
    </row>
    <row r="15" customFormat="false" ht="15" hidden="false" customHeight="true" outlineLevel="0" collapsed="false">
      <c r="A15" s="42"/>
      <c r="B15" s="42"/>
      <c r="C15" s="42"/>
      <c r="D15" s="42"/>
      <c r="E15" s="42"/>
    </row>
    <row r="16" customFormat="false" ht="15" hidden="false" customHeight="true" outlineLevel="0" collapsed="false">
      <c r="A16" s="42"/>
      <c r="B16" s="42"/>
      <c r="C16" s="42"/>
      <c r="D16" s="42"/>
      <c r="E16" s="42"/>
    </row>
  </sheetData>
  <mergeCells count="2">
    <mergeCell ref="A4:D4"/>
    <mergeCell ref="A14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19" t="s">
        <v>113</v>
      </c>
    </row>
    <row r="2" customFormat="false" ht="15" hidden="false" customHeight="true" outlineLevel="0" collapsed="false">
      <c r="A2" s="20" t="s">
        <v>114</v>
      </c>
    </row>
    <row r="4" customFormat="false" ht="15" hidden="false" customHeight="true" outlineLevel="0" collapsed="false">
      <c r="A4" s="13" t="s">
        <v>21</v>
      </c>
      <c r="B4" s="13" t="s">
        <v>115</v>
      </c>
      <c r="C4" s="13" t="s">
        <v>116</v>
      </c>
      <c r="D4" s="13" t="s">
        <v>117</v>
      </c>
      <c r="E4" s="13" t="s">
        <v>118</v>
      </c>
      <c r="F4" s="13" t="s">
        <v>119</v>
      </c>
    </row>
    <row r="5" customFormat="false" ht="15" hidden="false" customHeight="true" outlineLevel="0" collapsed="false">
      <c r="A5" s="21" t="s">
        <v>25</v>
      </c>
      <c r="B5" s="43" t="n">
        <f aca="false">'Ratio Analysis'!C6</f>
        <v>1.40009922402154</v>
      </c>
      <c r="C5" s="44" t="n">
        <v>1.19</v>
      </c>
      <c r="D5" s="44" t="n">
        <v>1.43</v>
      </c>
      <c r="E5" s="44" t="n">
        <f aca="false">AVERAGE(C5:D5)</f>
        <v>1.31</v>
      </c>
      <c r="F5" s="21" t="str">
        <f aca="false">IF(B5&gt;E5,"Above Peer Avg","Below Peer Avg")</f>
        <v>Above Peer Avg</v>
      </c>
    </row>
    <row r="6" customFormat="false" ht="15" hidden="false" customHeight="true" outlineLevel="0" collapsed="false">
      <c r="A6" s="21" t="s">
        <v>120</v>
      </c>
      <c r="B6" s="43" t="n">
        <f aca="false">'Ratio Analysis'!C18</f>
        <v>1.06021108412233</v>
      </c>
      <c r="C6" s="44" t="n">
        <v>0.83</v>
      </c>
      <c r="D6" s="44" t="n">
        <v>1.08</v>
      </c>
      <c r="E6" s="44" t="n">
        <f aca="false">AVERAGE(C6:D6)</f>
        <v>0.955</v>
      </c>
      <c r="F6" s="21" t="str">
        <f aca="false">IF(B6&gt;E6,"Above Peer Avg","Below Peer Avg")</f>
        <v>Above Peer Avg</v>
      </c>
    </row>
    <row r="7" customFormat="false" ht="15" hidden="false" customHeight="true" outlineLevel="0" collapsed="false">
      <c r="A7" s="21" t="s">
        <v>33</v>
      </c>
      <c r="B7" s="43" t="n">
        <f aca="false">'Ratio Analysis'!C13</f>
        <v>1.0440446619559</v>
      </c>
      <c r="C7" s="44" t="n">
        <v>0.55</v>
      </c>
      <c r="D7" s="44" t="n">
        <v>0.75</v>
      </c>
      <c r="E7" s="44" t="n">
        <f aca="false">AVERAGE(C7:D7)</f>
        <v>0.65</v>
      </c>
      <c r="F7" s="21" t="str">
        <f aca="false">IF(B7&gt;E7,"Above Peer Avg","Below Peer Avg")</f>
        <v>Above Peer Avg</v>
      </c>
    </row>
    <row r="8" customFormat="false" ht="15" hidden="false" customHeight="true" outlineLevel="0" collapsed="false">
      <c r="A8" s="21" t="s">
        <v>34</v>
      </c>
      <c r="B8" s="43" t="n">
        <f aca="false">'Ratio Analysis'!C14</f>
        <v>7.09670047054234</v>
      </c>
      <c r="C8" s="44" t="n">
        <v>8.06</v>
      </c>
      <c r="D8" s="44" t="n">
        <v>6.95</v>
      </c>
      <c r="E8" s="44" t="n">
        <f aca="false">AVERAGE(C8:D8)</f>
        <v>7.505</v>
      </c>
      <c r="F8" s="21" t="str">
        <f aca="false">IF(B8&gt;E8,"Above Peer Avg","Below Peer Avg")</f>
        <v>Below Peer Avg</v>
      </c>
    </row>
    <row r="9" customFormat="false" ht="15" hidden="false" customHeight="true" outlineLevel="0" collapsed="false">
      <c r="A9" s="21" t="s">
        <v>31</v>
      </c>
      <c r="B9" s="45" t="n">
        <f aca="false">'Ratio Analysis'!C10</f>
        <v>0.091859688259674</v>
      </c>
      <c r="C9" s="23" t="n">
        <v>0.1572</v>
      </c>
      <c r="D9" s="23" t="n">
        <v>0.0965</v>
      </c>
      <c r="E9" s="23" t="n">
        <f aca="false">AVERAGE(C9:D9)</f>
        <v>0.12685</v>
      </c>
      <c r="F9" s="21" t="str">
        <f aca="false">IF(B9&gt;E9,"Above Peer Avg","Below Peer Avg")</f>
        <v>Below Peer Avg</v>
      </c>
    </row>
    <row r="10" customFormat="false" ht="15" hidden="false" customHeight="true" outlineLevel="0" collapsed="false">
      <c r="A10" s="21" t="s">
        <v>32</v>
      </c>
      <c r="B10" s="45" t="n">
        <f aca="false">'Ratio Analysis'!C11</f>
        <v>0.0520086688622717</v>
      </c>
      <c r="C10" s="23" t="n">
        <v>0.0474</v>
      </c>
      <c r="D10" s="23" t="n">
        <v>0.0366</v>
      </c>
      <c r="E10" s="23" t="n">
        <f aca="false">AVERAGE(C10:D10)</f>
        <v>0.042</v>
      </c>
      <c r="F10" s="21" t="str">
        <f aca="false">IF(B10&gt;E10,"Above Peer Avg","Below Peer Avg")</f>
        <v>Above Peer Avg</v>
      </c>
    </row>
    <row r="11" customFormat="false" ht="15" hidden="false" customHeight="true" outlineLevel="0" collapsed="false">
      <c r="A11" s="21" t="s">
        <v>84</v>
      </c>
      <c r="B11" s="43" t="n">
        <f aca="false">'Ratio Analysis'!C20</f>
        <v>0.71604077406818</v>
      </c>
      <c r="C11" s="44" t="n">
        <v>1.04</v>
      </c>
      <c r="D11" s="44" t="n">
        <v>0.78</v>
      </c>
      <c r="E11" s="44" t="n">
        <f aca="false">AVERAGE(C11:D11)</f>
        <v>0.91</v>
      </c>
      <c r="F11" s="21" t="str">
        <f aca="false">IF(B11&gt;E11,"Above Peer Avg","Below Peer Avg")</f>
        <v>Below Peer Avg</v>
      </c>
    </row>
    <row r="13" customFormat="false" ht="15" hidden="false" customHeight="true" outlineLevel="0" collapsed="false">
      <c r="A13" s="24" t="s">
        <v>121</v>
      </c>
    </row>
    <row r="14" customFormat="false" ht="15" hidden="false" customHeight="true" outlineLevel="0" collapsed="false">
      <c r="A14" s="46" t="s">
        <v>122</v>
      </c>
    </row>
    <row r="15" customFormat="false" ht="15" hidden="false" customHeight="true" outlineLevel="0" collapsed="false">
      <c r="A15" s="46" t="s">
        <v>123</v>
      </c>
    </row>
    <row r="16" customFormat="false" ht="30" hidden="false" customHeight="true" outlineLevel="0" collapsed="false">
      <c r="A16" s="47" t="s">
        <v>124</v>
      </c>
      <c r="B16" s="47"/>
      <c r="C16" s="47"/>
      <c r="D16" s="47"/>
      <c r="E16" s="47"/>
      <c r="F16" s="47"/>
    </row>
  </sheetData>
  <mergeCells count="1"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</cols>
  <sheetData>
    <row r="1" customFormat="false" ht="19.5" hidden="false" customHeight="true" outlineLevel="0" collapsed="false">
      <c r="A1" s="19" t="s">
        <v>125</v>
      </c>
    </row>
    <row r="2" customFormat="false" ht="15" hidden="false" customHeight="true" outlineLevel="0" collapsed="false">
      <c r="A2" s="20" t="s">
        <v>126</v>
      </c>
    </row>
    <row r="4" customFormat="false" ht="15" hidden="false" customHeight="true" outlineLevel="0" collapsed="false">
      <c r="A4" s="12" t="s">
        <v>127</v>
      </c>
    </row>
    <row r="5" customFormat="false" ht="15" hidden="false" customHeight="true" outlineLevel="0" collapsed="false">
      <c r="A5" s="13" t="s">
        <v>128</v>
      </c>
      <c r="B5" s="13" t="s">
        <v>22</v>
      </c>
      <c r="C5" s="13" t="s">
        <v>23</v>
      </c>
      <c r="D5" s="13"/>
      <c r="E5" s="13"/>
      <c r="F5" s="13"/>
    </row>
    <row r="6" customFormat="false" ht="15" hidden="false" customHeight="true" outlineLevel="0" collapsed="false">
      <c r="A6" s="14" t="s">
        <v>129</v>
      </c>
      <c r="B6" s="29" t="n">
        <f aca="false">'Balance Sheet'!B6/'Balance Sheet'!$B$20</f>
        <v>0.195786416696963</v>
      </c>
      <c r="C6" s="30" t="n">
        <f aca="false">'Balance Sheet'!C6/'Balance Sheet'!$C$20</f>
        <v>0.219290493188503</v>
      </c>
    </row>
    <row r="7" customFormat="false" ht="15" hidden="false" customHeight="true" outlineLevel="0" collapsed="false">
      <c r="A7" s="14" t="s">
        <v>130</v>
      </c>
      <c r="B7" s="29" t="n">
        <f aca="false">'Balance Sheet'!B7/'Balance Sheet'!$B$20</f>
        <v>0.103751859824218</v>
      </c>
      <c r="C7" s="30" t="n">
        <f aca="false">'Balance Sheet'!C7/'Balance Sheet'!$C$20</f>
        <v>0.105709536331722</v>
      </c>
    </row>
    <row r="8" customFormat="false" ht="15" hidden="false" customHeight="true" outlineLevel="0" collapsed="false">
      <c r="A8" s="14" t="s">
        <v>131</v>
      </c>
      <c r="B8" s="29" t="n">
        <f aca="false">'Balance Sheet'!B8/'Balance Sheet'!$B$20</f>
        <v>0.109877997684117</v>
      </c>
      <c r="C8" s="30" t="n">
        <f aca="false">'Balance Sheet'!C8/'Balance Sheet'!$C$20</f>
        <v>0.106025137062407</v>
      </c>
    </row>
    <row r="9" customFormat="false" ht="15" hidden="false" customHeight="true" outlineLevel="0" collapsed="false">
      <c r="A9" s="14" t="s">
        <v>132</v>
      </c>
      <c r="B9" s="29" t="n">
        <f aca="false">'Balance Sheet'!B11/'Balance Sheet'!$B$20</f>
        <v>0.452619792324002</v>
      </c>
      <c r="C9" s="30" t="n">
        <f aca="false">'Balance Sheet'!C11/'Balance Sheet'!$C$20</f>
        <v>0.478080937373432</v>
      </c>
    </row>
    <row r="10" customFormat="false" ht="15" hidden="false" customHeight="true" outlineLevel="0" collapsed="false">
      <c r="A10" s="14" t="s">
        <v>133</v>
      </c>
      <c r="B10" s="29" t="n">
        <f aca="false">'Balance Sheet'!B14/'Balance Sheet'!$B$20</f>
        <v>0.246924269868466</v>
      </c>
      <c r="C10" s="30" t="n">
        <f aca="false">'Balance Sheet'!C14/'Balance Sheet'!$C$20</f>
        <v>0.247831326154802</v>
      </c>
    </row>
    <row r="11" customFormat="false" ht="15" hidden="false" customHeight="true" outlineLevel="0" collapsed="false">
      <c r="A11" s="14" t="s">
        <v>134</v>
      </c>
      <c r="B11" s="29" t="n">
        <f aca="false">'Balance Sheet'!B18/'Balance Sheet'!$B$20</f>
        <v>0.547379400373028</v>
      </c>
      <c r="C11" s="30" t="n">
        <f aca="false">'Balance Sheet'!C18/'Balance Sheet'!$C$20</f>
        <v>0.521917586615294</v>
      </c>
    </row>
    <row r="12" customFormat="false" ht="15" hidden="false" customHeight="true" outlineLevel="0" collapsed="false">
      <c r="A12" s="14" t="s">
        <v>135</v>
      </c>
      <c r="B12" s="29" t="n">
        <f aca="false">'Balance Sheet'!B20/'Balance Sheet'!$B$20</f>
        <v>1</v>
      </c>
      <c r="C12" s="30" t="n">
        <f aca="false">'Balance Sheet'!C20/'Balance Sheet'!$C$20</f>
        <v>1</v>
      </c>
    </row>
    <row r="13" customFormat="false" ht="15" hidden="false" customHeight="true" outlineLevel="0" collapsed="false">
      <c r="A13" s="14" t="s">
        <v>136</v>
      </c>
      <c r="B13" s="29" t="n">
        <f aca="false">'Balance Sheet'!B22/'Balance Sheet'!$B$20</f>
        <v>0.323276939632844</v>
      </c>
      <c r="C13" s="30" t="n">
        <f aca="false">'Balance Sheet'!C22/'Balance Sheet'!$C$20</f>
        <v>0.32493000754537</v>
      </c>
    </row>
    <row r="14" customFormat="false" ht="15" hidden="false" customHeight="true" outlineLevel="0" collapsed="false">
      <c r="A14" s="14" t="s">
        <v>137</v>
      </c>
      <c r="B14" s="29" t="n">
        <f aca="false">'Balance Sheet'!B26/'Balance Sheet'!$B$20</f>
        <v>0.417263151436313</v>
      </c>
      <c r="C14" s="30" t="n">
        <f aca="false">'Balance Sheet'!C26/'Balance Sheet'!$C$20</f>
        <v>0.451992438099039</v>
      </c>
    </row>
    <row r="15" customFormat="false" ht="15" hidden="false" customHeight="true" outlineLevel="0" collapsed="false">
      <c r="A15" s="14" t="s">
        <v>138</v>
      </c>
      <c r="B15" s="29" t="n">
        <f aca="false">'Balance Sheet'!B32/'Balance Sheet'!$B$20</f>
        <v>0.582736579462697</v>
      </c>
      <c r="C15" s="30" t="n">
        <f aca="false">'Balance Sheet'!C32/'Balance Sheet'!$C$20</f>
        <v>0.548007266698706</v>
      </c>
    </row>
    <row r="18" customFormat="false" ht="15" hidden="false" customHeight="true" outlineLevel="0" collapsed="false">
      <c r="A18" s="12" t="s">
        <v>139</v>
      </c>
    </row>
    <row r="19" customFormat="false" ht="15" hidden="false" customHeight="true" outlineLevel="0" collapsed="false">
      <c r="A19" s="13" t="s">
        <v>128</v>
      </c>
      <c r="B19" s="13" t="s">
        <v>22</v>
      </c>
      <c r="C19" s="13" t="s">
        <v>23</v>
      </c>
      <c r="D19" s="13"/>
      <c r="E19" s="13"/>
      <c r="F19" s="13"/>
    </row>
    <row r="20" customFormat="false" ht="15" hidden="false" customHeight="true" outlineLevel="0" collapsed="false">
      <c r="A20" s="14" t="s">
        <v>140</v>
      </c>
      <c r="B20" s="29" t="n">
        <f aca="false">'Income Statement'!B6/'Income Statement'!$B$5</f>
        <v>0.734386486275123</v>
      </c>
      <c r="C20" s="30" t="n">
        <f aca="false">'Income Statement'!C6/'Income Statement'!$C$5</f>
        <v>0.746419161467447</v>
      </c>
    </row>
    <row r="21" customFormat="false" ht="15" hidden="false" customHeight="true" outlineLevel="0" collapsed="false">
      <c r="A21" s="14" t="s">
        <v>37</v>
      </c>
      <c r="B21" s="29" t="n">
        <f aca="false">'Income Statement'!B7/'Income Statement'!$B$5</f>
        <v>0.265613244054441</v>
      </c>
      <c r="C21" s="30" t="n">
        <f aca="false">'Income Statement'!C7/'Income Statement'!$C$5</f>
        <v>0.253565117138939</v>
      </c>
    </row>
    <row r="22" customFormat="false" ht="15" hidden="false" customHeight="true" outlineLevel="0" collapsed="false">
      <c r="A22" s="14" t="s">
        <v>141</v>
      </c>
      <c r="B22" s="29" t="n">
        <f aca="false">'Income Statement'!B9/'Income Statement'!$B$5</f>
        <v>0.136108871348325</v>
      </c>
      <c r="C22" s="30" t="n">
        <f aca="false">'Income Statement'!C9/'Income Statement'!$C$5</f>
        <v>0.149976417909579</v>
      </c>
    </row>
    <row r="23" customFormat="false" ht="15" hidden="false" customHeight="true" outlineLevel="0" collapsed="false">
      <c r="A23" s="14" t="s">
        <v>38</v>
      </c>
      <c r="B23" s="29" t="n">
        <f aca="false">'Income Statement'!B12/'Income Statement'!$B$5</f>
        <v>0.107930737845279</v>
      </c>
      <c r="C23" s="30" t="n">
        <f aca="false">'Income Statement'!C12/'Income Statement'!$C$5</f>
        <v>0.0811762513792612</v>
      </c>
    </row>
    <row r="24" customFormat="false" ht="15" hidden="false" customHeight="true" outlineLevel="0" collapsed="false">
      <c r="A24" s="14" t="s">
        <v>39</v>
      </c>
      <c r="B24" s="29" t="n">
        <f aca="false">'Income Statement'!B18/'Income Statement'!$B$5</f>
        <v>0.0498146015754147</v>
      </c>
      <c r="C24" s="30" t="n">
        <f aca="false">'Income Statement'!C18/'Income Statement'!$C$5</f>
        <v>0.0476299999126589</v>
      </c>
    </row>
    <row r="25" customFormat="false" ht="15" hidden="false" customHeight="true" outlineLevel="0" collapsed="false">
      <c r="A25" s="14" t="s">
        <v>142</v>
      </c>
      <c r="B25" s="29" t="n">
        <f aca="false">'Income Statement'!B19/'Income Statement'!$B$5</f>
        <v>0.144627032303821</v>
      </c>
      <c r="C25" s="30" t="n">
        <f aca="false">'Income Statement'!C19/'Income Statement'!$C$5</f>
        <v>0.119370125276216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0"/>
  </cols>
  <sheetData>
    <row r="1" customFormat="false" ht="19.5" hidden="false" customHeight="true" outlineLevel="0" collapsed="false">
      <c r="A1" s="19" t="s">
        <v>143</v>
      </c>
    </row>
    <row r="2" customFormat="false" ht="15" hidden="false" customHeight="true" outlineLevel="0" collapsed="false">
      <c r="A2" s="20" t="s">
        <v>144</v>
      </c>
    </row>
    <row r="4" customFormat="false" ht="15" hidden="false" customHeight="true" outlineLevel="0" collapsed="false">
      <c r="A4" s="13" t="s">
        <v>145</v>
      </c>
      <c r="B4" s="13" t="s">
        <v>146</v>
      </c>
      <c r="C4" s="13" t="s">
        <v>147</v>
      </c>
      <c r="D4" s="13"/>
      <c r="E4" s="13"/>
      <c r="F4" s="13"/>
    </row>
    <row r="5" customFormat="false" ht="15" hidden="false" customHeight="true" outlineLevel="0" collapsed="false">
      <c r="A5" s="25" t="s">
        <v>148</v>
      </c>
      <c r="B5" s="25"/>
      <c r="C5" s="25"/>
      <c r="D5" s="25"/>
      <c r="E5" s="25"/>
      <c r="F5" s="25"/>
    </row>
    <row r="6" customFormat="false" ht="15" hidden="false" customHeight="true" outlineLevel="0" collapsed="false">
      <c r="A6" s="14" t="s">
        <v>129</v>
      </c>
      <c r="B6" s="48" t="n">
        <v>7275.574</v>
      </c>
      <c r="C6" s="49" t="n">
        <v>7428.483</v>
      </c>
    </row>
    <row r="7" customFormat="false" ht="15" hidden="false" customHeight="true" outlineLevel="0" collapsed="false">
      <c r="A7" s="14" t="s">
        <v>130</v>
      </c>
      <c r="B7" s="48" t="n">
        <v>3855.499</v>
      </c>
      <c r="C7" s="49" t="n">
        <v>3580.919</v>
      </c>
    </row>
    <row r="8" customFormat="false" ht="15" hidden="false" customHeight="true" outlineLevel="0" collapsed="false">
      <c r="A8" s="14" t="s">
        <v>131</v>
      </c>
      <c r="B8" s="48" t="n">
        <v>4083.151</v>
      </c>
      <c r="C8" s="49" t="n">
        <v>3591.61</v>
      </c>
    </row>
    <row r="9" customFormat="false" ht="15" hidden="false" customHeight="true" outlineLevel="0" collapsed="false">
      <c r="A9" s="14" t="s">
        <v>149</v>
      </c>
      <c r="B9" s="48" t="n">
        <v>0</v>
      </c>
      <c r="C9" s="49" t="n">
        <v>0</v>
      </c>
    </row>
    <row r="10" customFormat="false" ht="15" hidden="false" customHeight="true" outlineLevel="0" collapsed="false">
      <c r="A10" s="14" t="s">
        <v>150</v>
      </c>
      <c r="B10" s="48" t="n">
        <v>1605.458</v>
      </c>
      <c r="C10" s="49" t="n">
        <v>1594.278</v>
      </c>
    </row>
    <row r="11" customFormat="false" ht="15" hidden="false" customHeight="true" outlineLevel="0" collapsed="false">
      <c r="A11" s="38" t="s">
        <v>132</v>
      </c>
      <c r="B11" s="50" t="n">
        <v>16819.7</v>
      </c>
      <c r="C11" s="51" t="n">
        <v>16195.03</v>
      </c>
    </row>
    <row r="12" customFormat="false" ht="15" hidden="false" customHeight="true" outlineLevel="0" collapsed="false">
      <c r="A12" s="14"/>
      <c r="B12" s="14"/>
      <c r="C12" s="14"/>
    </row>
    <row r="13" customFormat="false" ht="15" hidden="false" customHeight="true" outlineLevel="0" collapsed="false">
      <c r="A13" s="25" t="s">
        <v>151</v>
      </c>
      <c r="B13" s="25"/>
      <c r="C13" s="25"/>
      <c r="D13" s="25"/>
      <c r="E13" s="25"/>
      <c r="F13" s="25"/>
    </row>
    <row r="14" customFormat="false" ht="15" hidden="false" customHeight="true" outlineLevel="0" collapsed="false">
      <c r="A14" s="14" t="s">
        <v>133</v>
      </c>
      <c r="B14" s="48" t="n">
        <v>9175.896</v>
      </c>
      <c r="C14" s="49" t="n">
        <v>8395.306</v>
      </c>
    </row>
    <row r="15" customFormat="false" ht="15" hidden="false" customHeight="true" outlineLevel="0" collapsed="false">
      <c r="A15" s="14" t="s">
        <v>152</v>
      </c>
      <c r="B15" s="48" t="n">
        <v>9674.207</v>
      </c>
      <c r="C15" s="49" t="n">
        <v>7734.99</v>
      </c>
    </row>
    <row r="16" customFormat="false" ht="15" hidden="false" customHeight="true" outlineLevel="0" collapsed="false">
      <c r="A16" s="14" t="s">
        <v>153</v>
      </c>
      <c r="B16" s="48" t="n">
        <v>53.848</v>
      </c>
      <c r="C16" s="49" t="n">
        <v>28.409</v>
      </c>
    </row>
    <row r="17" customFormat="false" ht="15" hidden="false" customHeight="true" outlineLevel="0" collapsed="false">
      <c r="A17" s="14" t="s">
        <v>154</v>
      </c>
      <c r="B17" s="48" t="n">
        <v>840.558</v>
      </c>
      <c r="C17" s="49" t="n">
        <v>618.648</v>
      </c>
    </row>
    <row r="18" customFormat="false" ht="15" hidden="false" customHeight="true" outlineLevel="0" collapsed="false">
      <c r="A18" s="38" t="s">
        <v>134</v>
      </c>
      <c r="B18" s="50" t="n">
        <v>20341.04</v>
      </c>
      <c r="C18" s="51" t="n">
        <v>17680</v>
      </c>
    </row>
    <row r="19" customFormat="false" ht="15" hidden="false" customHeight="true" outlineLevel="0" collapsed="false">
      <c r="A19" s="14"/>
      <c r="B19" s="14"/>
      <c r="C19" s="14"/>
    </row>
    <row r="20" customFormat="false" ht="15" hidden="false" customHeight="true" outlineLevel="0" collapsed="false">
      <c r="A20" s="38" t="s">
        <v>135</v>
      </c>
      <c r="B20" s="50" t="n">
        <v>37160.77</v>
      </c>
      <c r="C20" s="51" t="n">
        <v>33875.08</v>
      </c>
    </row>
    <row r="21" customFormat="false" ht="15" hidden="false" customHeight="true" outlineLevel="0" collapsed="false">
      <c r="A21" s="14"/>
      <c r="B21" s="14"/>
      <c r="C21" s="14"/>
    </row>
    <row r="22" customFormat="false" ht="15" hidden="false" customHeight="true" outlineLevel="0" collapsed="false">
      <c r="A22" s="38" t="s">
        <v>155</v>
      </c>
      <c r="B22" s="50" t="n">
        <v>12013.22</v>
      </c>
      <c r="C22" s="51" t="n">
        <v>11007.03</v>
      </c>
    </row>
    <row r="23" customFormat="false" ht="15" hidden="false" customHeight="true" outlineLevel="0" collapsed="false">
      <c r="A23" s="14" t="s">
        <v>156</v>
      </c>
      <c r="B23" s="48" t="n">
        <v>2272.867</v>
      </c>
      <c r="C23" s="49" t="n">
        <v>3084.224</v>
      </c>
    </row>
    <row r="24" customFormat="false" ht="15" hidden="false" customHeight="true" outlineLevel="0" collapsed="false">
      <c r="A24" s="14" t="s">
        <v>157</v>
      </c>
      <c r="B24" s="48" t="n">
        <v>778.058</v>
      </c>
      <c r="C24" s="49" t="n">
        <v>674.616</v>
      </c>
    </row>
    <row r="25" customFormat="false" ht="15" hidden="false" customHeight="true" outlineLevel="0" collapsed="false">
      <c r="A25" s="14" t="s">
        <v>158</v>
      </c>
      <c r="B25" s="48" t="n">
        <v>442.873</v>
      </c>
      <c r="C25" s="49" t="n">
        <v>545.41</v>
      </c>
    </row>
    <row r="26" customFormat="false" ht="15" hidden="false" customHeight="true" outlineLevel="0" collapsed="false">
      <c r="A26" s="38" t="s">
        <v>137</v>
      </c>
      <c r="B26" s="50" t="n">
        <v>15505.82</v>
      </c>
      <c r="C26" s="51" t="n">
        <v>15311.28</v>
      </c>
    </row>
    <row r="27" customFormat="false" ht="15" hidden="false" customHeight="true" outlineLevel="0" collapsed="false">
      <c r="A27" s="14"/>
      <c r="B27" s="14"/>
      <c r="C27" s="14"/>
    </row>
    <row r="28" customFormat="false" ht="15" hidden="false" customHeight="true" outlineLevel="0" collapsed="false">
      <c r="A28" s="14" t="s">
        <v>159</v>
      </c>
      <c r="B28" s="48" t="n">
        <v>954.753</v>
      </c>
      <c r="C28" s="49" t="n">
        <v>1023.71</v>
      </c>
    </row>
    <row r="29" customFormat="false" ht="15" hidden="false" customHeight="true" outlineLevel="0" collapsed="false">
      <c r="A29" s="14" t="s">
        <v>160</v>
      </c>
      <c r="B29" s="48" t="n">
        <v>14707.332</v>
      </c>
      <c r="C29" s="49" t="n">
        <v>13499.03</v>
      </c>
    </row>
    <row r="30" customFormat="false" ht="15" hidden="false" customHeight="true" outlineLevel="0" collapsed="false">
      <c r="A30" s="14" t="s">
        <v>161</v>
      </c>
      <c r="B30" s="48" t="n">
        <v>2020.099</v>
      </c>
      <c r="C30" s="49" t="n">
        <v>560.473</v>
      </c>
    </row>
    <row r="31" customFormat="false" ht="15" hidden="false" customHeight="true" outlineLevel="0" collapsed="false">
      <c r="A31" s="14" t="s">
        <v>162</v>
      </c>
      <c r="B31" s="48" t="n">
        <v>-27.043</v>
      </c>
      <c r="C31" s="49" t="n">
        <v>-28.57</v>
      </c>
    </row>
    <row r="32" customFormat="false" ht="15" hidden="false" customHeight="true" outlineLevel="0" collapsed="false">
      <c r="A32" s="38" t="s">
        <v>138</v>
      </c>
      <c r="B32" s="50" t="n">
        <v>21654.94</v>
      </c>
      <c r="C32" s="51" t="n">
        <v>18563.79</v>
      </c>
    </row>
    <row r="33" customFormat="false" ht="15" hidden="false" customHeight="true" outlineLevel="0" collapsed="false">
      <c r="A33" s="14"/>
      <c r="B33" s="14"/>
      <c r="C33" s="14"/>
    </row>
    <row r="34" customFormat="false" ht="15" hidden="false" customHeight="true" outlineLevel="0" collapsed="false">
      <c r="A34" s="38" t="s">
        <v>163</v>
      </c>
      <c r="B34" s="50" t="n">
        <v>37160.77</v>
      </c>
      <c r="C34" s="51" t="n">
        <v>33875.08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0"/>
  </cols>
  <sheetData>
    <row r="1" customFormat="false" ht="19.5" hidden="false" customHeight="true" outlineLevel="0" collapsed="false">
      <c r="A1" s="19" t="s">
        <v>164</v>
      </c>
    </row>
    <row r="2" customFormat="false" ht="15" hidden="false" customHeight="true" outlineLevel="0" collapsed="false">
      <c r="A2" s="20" t="s">
        <v>144</v>
      </c>
    </row>
    <row r="4" customFormat="false" ht="15" hidden="false" customHeight="true" outlineLevel="0" collapsed="false">
      <c r="A4" s="13" t="s">
        <v>145</v>
      </c>
      <c r="B4" s="13" t="s">
        <v>146</v>
      </c>
      <c r="C4" s="13" t="s">
        <v>147</v>
      </c>
      <c r="D4" s="13"/>
      <c r="E4" s="13"/>
      <c r="F4" s="13"/>
    </row>
    <row r="5" customFormat="false" ht="15" hidden="false" customHeight="true" outlineLevel="0" collapsed="false">
      <c r="A5" s="38" t="s">
        <v>36</v>
      </c>
      <c r="B5" s="50" t="n">
        <v>37082.3</v>
      </c>
      <c r="C5" s="51" t="n">
        <v>34348.1</v>
      </c>
    </row>
    <row r="6" customFormat="false" ht="15" hidden="false" customHeight="true" outlineLevel="0" collapsed="false">
      <c r="A6" s="14" t="s">
        <v>140</v>
      </c>
      <c r="B6" s="48" t="n">
        <v>27232.74</v>
      </c>
      <c r="C6" s="49" t="n">
        <v>25638.08</v>
      </c>
    </row>
    <row r="7" customFormat="false" ht="15" hidden="false" customHeight="true" outlineLevel="0" collapsed="false">
      <c r="A7" s="38" t="s">
        <v>37</v>
      </c>
      <c r="B7" s="50" t="n">
        <v>9849.55</v>
      </c>
      <c r="C7" s="51" t="n">
        <v>8709.48</v>
      </c>
    </row>
    <row r="8" customFormat="false" ht="15" hidden="false" customHeight="true" outlineLevel="0" collapsed="false">
      <c r="A8" s="14" t="s">
        <v>165</v>
      </c>
      <c r="B8" s="48" t="n">
        <v>0.799</v>
      </c>
      <c r="C8" s="49" t="n">
        <v>0.769</v>
      </c>
    </row>
    <row r="9" customFormat="false" ht="15" hidden="false" customHeight="true" outlineLevel="0" collapsed="false">
      <c r="A9" s="14" t="s">
        <v>141</v>
      </c>
      <c r="B9" s="48" t="n">
        <v>5047.23</v>
      </c>
      <c r="C9" s="49" t="n">
        <v>5151.405</v>
      </c>
    </row>
    <row r="10" customFormat="false" ht="15" hidden="false" customHeight="true" outlineLevel="0" collapsed="false">
      <c r="A10" s="14" t="s">
        <v>166</v>
      </c>
      <c r="B10" s="48" t="n">
        <v>0</v>
      </c>
      <c r="C10" s="49" t="n">
        <v>0</v>
      </c>
    </row>
    <row r="11" customFormat="false" ht="15" hidden="false" customHeight="true" outlineLevel="0" collapsed="false">
      <c r="A11" s="14" t="s">
        <v>167</v>
      </c>
      <c r="B11" s="48" t="n">
        <v>5847.23</v>
      </c>
      <c r="C11" s="49" t="n">
        <v>5921.23</v>
      </c>
    </row>
    <row r="12" customFormat="false" ht="15" hidden="false" customHeight="true" outlineLevel="0" collapsed="false">
      <c r="A12" s="38" t="s">
        <v>38</v>
      </c>
      <c r="B12" s="50" t="n">
        <v>4002.32</v>
      </c>
      <c r="C12" s="51" t="n">
        <v>2788.25</v>
      </c>
    </row>
    <row r="13" customFormat="false" ht="15" hidden="false" customHeight="true" outlineLevel="0" collapsed="false">
      <c r="A13" s="14" t="s">
        <v>168</v>
      </c>
      <c r="B13" s="48" t="n">
        <v>0.226</v>
      </c>
      <c r="C13" s="49" t="n">
        <v>0.248</v>
      </c>
    </row>
    <row r="14" customFormat="false" ht="15" hidden="false" customHeight="true" outlineLevel="0" collapsed="false">
      <c r="A14" s="38" t="s">
        <v>169</v>
      </c>
      <c r="B14" s="50" t="n">
        <v>4228.57</v>
      </c>
      <c r="C14" s="51" t="n">
        <v>3036.57</v>
      </c>
    </row>
    <row r="15" customFormat="false" ht="15" hidden="false" customHeight="true" outlineLevel="0" collapsed="false">
      <c r="A15" s="14" t="s">
        <v>170</v>
      </c>
      <c r="B15" s="48" t="n">
        <v>1000.88</v>
      </c>
      <c r="C15" s="49" t="n">
        <v>709.07</v>
      </c>
    </row>
    <row r="16" customFormat="false" ht="15" hidden="false" customHeight="true" outlineLevel="0" collapsed="false">
      <c r="A16" s="14" t="s">
        <v>171</v>
      </c>
      <c r="B16" s="48" t="n">
        <v>3227.69</v>
      </c>
      <c r="C16" s="49" t="n">
        <v>2327.5</v>
      </c>
    </row>
    <row r="17" customFormat="false" ht="15" hidden="false" customHeight="true" outlineLevel="0" collapsed="false">
      <c r="A17" s="14" t="s">
        <v>172</v>
      </c>
      <c r="B17" s="48" t="n">
        <v>2375.1</v>
      </c>
      <c r="C17" s="49" t="n">
        <v>2029.05</v>
      </c>
    </row>
    <row r="18" customFormat="false" ht="15" hidden="false" customHeight="true" outlineLevel="0" collapsed="false">
      <c r="A18" s="38" t="s">
        <v>39</v>
      </c>
      <c r="B18" s="50" t="n">
        <v>1847.24</v>
      </c>
      <c r="C18" s="51" t="n">
        <v>1636</v>
      </c>
    </row>
    <row r="19" customFormat="false" ht="15" hidden="false" customHeight="true" outlineLevel="0" collapsed="false">
      <c r="A19" s="38" t="s">
        <v>142</v>
      </c>
      <c r="B19" s="50" t="n">
        <f aca="false">B12+'Cash Flow Statement'!B6</f>
        <v>5363.103</v>
      </c>
      <c r="C19" s="51" t="n">
        <f aca="false">C12+'Cash Flow Statement'!C6</f>
        <v>4100.137</v>
      </c>
    </row>
    <row r="20" customFormat="false" ht="15" hidden="false" customHeight="true" outlineLevel="0" collapsed="false">
      <c r="A20" s="38" t="s">
        <v>173</v>
      </c>
      <c r="B20" s="50" t="n">
        <f aca="false">B12</f>
        <v>4002.32</v>
      </c>
      <c r="C20" s="51" t="n">
        <f aca="false">C12</f>
        <v>2788.25</v>
      </c>
    </row>
    <row r="21" customFormat="false" ht="15" hidden="false" customHeight="true" outlineLevel="0" collapsed="false">
      <c r="A21" s="14" t="s">
        <v>174</v>
      </c>
      <c r="B21" s="48" t="n">
        <v>484</v>
      </c>
      <c r="C21" s="49" t="n">
        <v>484</v>
      </c>
    </row>
    <row r="22" customFormat="false" ht="15" hidden="false" customHeight="true" outlineLevel="0" collapsed="false">
      <c r="A22" s="14" t="s">
        <v>175</v>
      </c>
      <c r="B22" s="48" t="n">
        <v>3.82</v>
      </c>
      <c r="C22" s="49" t="n">
        <v>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0"/>
  </cols>
  <sheetData>
    <row r="1" customFormat="false" ht="19.5" hidden="false" customHeight="true" outlineLevel="0" collapsed="false">
      <c r="A1" s="19" t="s">
        <v>176</v>
      </c>
    </row>
    <row r="2" customFormat="false" ht="15" hidden="false" customHeight="true" outlineLevel="0" collapsed="false">
      <c r="A2" s="20" t="s">
        <v>144</v>
      </c>
    </row>
    <row r="4" customFormat="false" ht="15" hidden="false" customHeight="true" outlineLevel="0" collapsed="false">
      <c r="A4" s="13" t="s">
        <v>145</v>
      </c>
      <c r="B4" s="13" t="s">
        <v>146</v>
      </c>
      <c r="C4" s="13" t="s">
        <v>147</v>
      </c>
      <c r="D4" s="13"/>
      <c r="E4" s="13"/>
      <c r="F4" s="13"/>
    </row>
    <row r="5" customFormat="false" ht="15" hidden="false" customHeight="true" outlineLevel="0" collapsed="false">
      <c r="A5" s="14" t="s">
        <v>39</v>
      </c>
      <c r="B5" s="48" t="n">
        <v>1847.24</v>
      </c>
      <c r="C5" s="49" t="n">
        <v>1636</v>
      </c>
    </row>
    <row r="6" customFormat="false" ht="15" hidden="false" customHeight="true" outlineLevel="0" collapsed="false">
      <c r="A6" s="14" t="s">
        <v>177</v>
      </c>
      <c r="B6" s="48" t="n">
        <v>1360.783</v>
      </c>
      <c r="C6" s="49" t="n">
        <v>1311.887</v>
      </c>
    </row>
    <row r="7" customFormat="false" ht="15" hidden="false" customHeight="true" outlineLevel="0" collapsed="false">
      <c r="A7" s="14" t="s">
        <v>178</v>
      </c>
      <c r="B7" s="48" t="n">
        <v>806.527</v>
      </c>
      <c r="C7" s="49" t="n">
        <v>1090.252</v>
      </c>
    </row>
    <row r="8" customFormat="false" ht="15" hidden="false" customHeight="true" outlineLevel="0" collapsed="false">
      <c r="A8" s="14" t="s">
        <v>179</v>
      </c>
      <c r="B8" s="48" t="n">
        <v>-117.825</v>
      </c>
      <c r="C8" s="49" t="n">
        <v>-248.158</v>
      </c>
    </row>
    <row r="9" customFormat="false" ht="15" hidden="false" customHeight="true" outlineLevel="0" collapsed="false">
      <c r="A9" s="14" t="s">
        <v>180</v>
      </c>
      <c r="B9" s="48" t="n">
        <v>-355.656</v>
      </c>
      <c r="C9" s="49" t="n">
        <v>-849.187</v>
      </c>
    </row>
    <row r="10" customFormat="false" ht="15" hidden="false" customHeight="true" outlineLevel="0" collapsed="false">
      <c r="A10" s="14" t="s">
        <v>181</v>
      </c>
      <c r="B10" s="48" t="n">
        <v>378.511</v>
      </c>
      <c r="C10" s="49" t="n">
        <v>160.371</v>
      </c>
    </row>
    <row r="11" customFormat="false" ht="15" hidden="false" customHeight="true" outlineLevel="0" collapsed="false">
      <c r="A11" s="14" t="s">
        <v>182</v>
      </c>
      <c r="B11" s="48" t="n">
        <v>90.874</v>
      </c>
      <c r="C11" s="49" t="n">
        <v>322.607</v>
      </c>
    </row>
    <row r="12" customFormat="false" ht="15" hidden="false" customHeight="true" outlineLevel="0" collapsed="false">
      <c r="A12" s="38" t="s">
        <v>183</v>
      </c>
      <c r="B12" s="50" t="n">
        <v>6550.455</v>
      </c>
      <c r="C12" s="51" t="n">
        <v>5957.575</v>
      </c>
    </row>
    <row r="13" customFormat="false" ht="15" hidden="false" customHeight="true" outlineLevel="0" collapsed="false">
      <c r="A13" s="14" t="s">
        <v>184</v>
      </c>
      <c r="B13" s="48" t="n">
        <v>-2066.743</v>
      </c>
      <c r="C13" s="49" t="n">
        <v>-2191.055</v>
      </c>
    </row>
    <row r="14" customFormat="false" ht="15" hidden="false" customHeight="true" outlineLevel="0" collapsed="false">
      <c r="A14" s="14" t="s">
        <v>185</v>
      </c>
      <c r="B14" s="48" t="n">
        <v>-251.878</v>
      </c>
      <c r="C14" s="49" t="n">
        <v>536.019</v>
      </c>
    </row>
    <row r="15" customFormat="false" ht="15" hidden="false" customHeight="true" outlineLevel="0" collapsed="false">
      <c r="A15" s="14" t="s">
        <v>186</v>
      </c>
      <c r="B15" s="48" t="n">
        <v>-8285.046</v>
      </c>
      <c r="C15" s="49" t="n">
        <v>-284.514</v>
      </c>
    </row>
    <row r="16" customFormat="false" ht="15" hidden="false" customHeight="true" outlineLevel="0" collapsed="false">
      <c r="A16" s="14" t="s">
        <v>187</v>
      </c>
      <c r="B16" s="48" t="n">
        <v>-1198.324</v>
      </c>
      <c r="C16" s="49" t="n">
        <v>-1238.738</v>
      </c>
    </row>
    <row r="17" customFormat="false" ht="15" hidden="false" customHeight="true" outlineLevel="0" collapsed="false">
      <c r="A17" s="38" t="s">
        <v>188</v>
      </c>
      <c r="B17" s="50" t="n">
        <v>-11801.991</v>
      </c>
      <c r="C17" s="51" t="n">
        <v>-3178.289</v>
      </c>
    </row>
    <row r="18" customFormat="false" ht="15" hidden="false" customHeight="true" outlineLevel="0" collapsed="false">
      <c r="A18" s="14" t="s">
        <v>189</v>
      </c>
      <c r="B18" s="48" t="n">
        <v>198.942</v>
      </c>
      <c r="C18" s="49" t="n">
        <v>969.969</v>
      </c>
    </row>
    <row r="19" customFormat="false" ht="15" hidden="false" customHeight="true" outlineLevel="0" collapsed="false">
      <c r="A19" s="14" t="s">
        <v>190</v>
      </c>
      <c r="B19" s="48" t="n">
        <v>819.368</v>
      </c>
      <c r="C19" s="49" t="n">
        <v>1756.654</v>
      </c>
    </row>
    <row r="20" customFormat="false" ht="15" hidden="false" customHeight="true" outlineLevel="0" collapsed="false">
      <c r="A20" s="14" t="s">
        <v>191</v>
      </c>
      <c r="B20" s="48" t="n">
        <v>-803.647</v>
      </c>
      <c r="C20" s="49" t="n">
        <v>715.055</v>
      </c>
    </row>
    <row r="21" customFormat="false" ht="15" hidden="false" customHeight="true" outlineLevel="0" collapsed="false">
      <c r="A21" s="14" t="s">
        <v>192</v>
      </c>
      <c r="B21" s="48" t="n">
        <v>-4495.924</v>
      </c>
      <c r="C21" s="49" t="n">
        <v>-445.332</v>
      </c>
    </row>
    <row r="22" customFormat="false" ht="15" hidden="false" customHeight="true" outlineLevel="0" collapsed="false">
      <c r="A22" s="14" t="s">
        <v>193</v>
      </c>
      <c r="B22" s="48" t="n">
        <v>6.155</v>
      </c>
      <c r="C22" s="49" t="n">
        <v>0</v>
      </c>
    </row>
    <row r="23" customFormat="false" ht="15" hidden="false" customHeight="true" outlineLevel="0" collapsed="false">
      <c r="A23" s="38" t="s">
        <v>194</v>
      </c>
      <c r="B23" s="50" t="n">
        <v>-5503.135</v>
      </c>
      <c r="C23" s="51" t="n">
        <v>233.023</v>
      </c>
    </row>
    <row r="24" customFormat="false" ht="15" hidden="false" customHeight="true" outlineLevel="0" collapsed="false">
      <c r="A24" s="38" t="s">
        <v>195</v>
      </c>
      <c r="B24" s="50" t="n">
        <v>-196.705</v>
      </c>
      <c r="C24" s="51" t="n">
        <v>178.717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19" t="s">
        <v>196</v>
      </c>
    </row>
    <row r="3" customFormat="false" ht="31.5" hidden="false" customHeight="true" outlineLevel="0" collapsed="false">
      <c r="A3" s="8" t="s">
        <v>197</v>
      </c>
      <c r="B3" s="9" t="s">
        <v>198</v>
      </c>
      <c r="C3" s="9"/>
      <c r="D3" s="9"/>
      <c r="E3" s="9"/>
    </row>
    <row r="4" customFormat="false" ht="31.5" hidden="false" customHeight="true" outlineLevel="0" collapsed="false">
      <c r="A4" s="8" t="s">
        <v>199</v>
      </c>
      <c r="B4" s="9" t="s">
        <v>200</v>
      </c>
      <c r="C4" s="9"/>
      <c r="D4" s="9"/>
      <c r="E4" s="9"/>
    </row>
    <row r="5" customFormat="false" ht="31.5" hidden="false" customHeight="true" outlineLevel="0" collapsed="false">
      <c r="A5" s="8" t="s">
        <v>201</v>
      </c>
      <c r="B5" s="9" t="s">
        <v>202</v>
      </c>
      <c r="C5" s="9"/>
      <c r="D5" s="9"/>
      <c r="E5" s="9"/>
    </row>
    <row r="6" customFormat="false" ht="31.5" hidden="false" customHeight="true" outlineLevel="0" collapsed="false">
      <c r="A6" s="8" t="s">
        <v>203</v>
      </c>
      <c r="B6" s="9" t="s">
        <v>204</v>
      </c>
      <c r="C6" s="9"/>
      <c r="D6" s="9"/>
      <c r="E6" s="9"/>
    </row>
    <row r="7" customFormat="false" ht="31.5" hidden="false" customHeight="true" outlineLevel="0" collapsed="false">
      <c r="A7" s="8" t="s">
        <v>205</v>
      </c>
      <c r="B7" s="9" t="s">
        <v>206</v>
      </c>
      <c r="C7" s="9"/>
      <c r="D7" s="9"/>
      <c r="E7" s="9"/>
    </row>
    <row r="8" customFormat="false" ht="31.5" hidden="false" customHeight="true" outlineLevel="0" collapsed="false">
      <c r="A8" s="8" t="s">
        <v>207</v>
      </c>
      <c r="B8" s="9" t="s">
        <v>208</v>
      </c>
      <c r="C8" s="9"/>
      <c r="D8" s="9"/>
      <c r="E8" s="9"/>
    </row>
    <row r="9" customFormat="false" ht="31.5" hidden="false" customHeight="true" outlineLevel="0" collapsed="false">
      <c r="A9" s="8" t="s">
        <v>209</v>
      </c>
      <c r="B9" s="9" t="s">
        <v>210</v>
      </c>
      <c r="C9" s="9"/>
      <c r="D9" s="9"/>
      <c r="E9" s="9"/>
    </row>
    <row r="10" customFormat="false" ht="31.5" hidden="false" customHeight="true" outlineLevel="0" collapsed="false">
      <c r="A10" s="8" t="s">
        <v>211</v>
      </c>
      <c r="B10" s="9" t="s">
        <v>212</v>
      </c>
      <c r="C10" s="9"/>
      <c r="D10" s="9"/>
      <c r="E10" s="9"/>
    </row>
    <row r="12" customFormat="false" ht="15" hidden="false" customHeight="false" outlineLevel="0" collapsed="false">
      <c r="A12" s="52" t="s">
        <v>213</v>
      </c>
    </row>
    <row r="13" customFormat="false" ht="60" hidden="false" customHeight="true" outlineLevel="0" collapsed="false">
      <c r="A13" s="9" t="s">
        <v>214</v>
      </c>
      <c r="B13" s="9"/>
      <c r="C13" s="9"/>
      <c r="D13" s="9"/>
      <c r="E13" s="9"/>
    </row>
  </sheetData>
  <mergeCells count="9">
    <mergeCell ref="B3:E3"/>
    <mergeCell ref="B4:E4"/>
    <mergeCell ref="B5:E5"/>
    <mergeCell ref="B6:E6"/>
    <mergeCell ref="B7:E7"/>
    <mergeCell ref="B8:E8"/>
    <mergeCell ref="B9:E9"/>
    <mergeCell ref="B10:E10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2026-07-03T02:17:49Z</dcterms:created>
  <dc:creator>openpyxl</dc:creator>
  <dc:description/>
  <dc:language>en-US</dc:language>
  <cp:lastModifiedBy/>
  <dcterms:modified xsi:type="dcterms:W3CDTF">2026-07-03T09:28:34Z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